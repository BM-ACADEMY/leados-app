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_Companie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E4A500"/>
      <sz val="14"/>
    </font>
    <font>
      <name val="Arial"/>
      <color rgb="00AAAAAA"/>
      <sz val="9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E4A500"/>
      <sz val="9"/>
    </font>
    <font>
      <name val="Arial"/>
      <b val="1"/>
      <color rgb="00E4A500"/>
      <sz val="13"/>
    </font>
    <font>
      <name val="Arial"/>
      <b val="1"/>
      <color rgb="001A1A2E"/>
      <sz val="10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07B83"/>
      </patternFill>
    </fill>
    <fill>
      <patternFill patternType="solid">
        <fgColor rgb="006C757D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7" fillId="11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9C4"/>
          <bgColor rgb="00FFF9C4"/>
        </patternFill>
      </fill>
    </dxf>
    <dxf>
      <fill>
        <patternFill patternType="solid">
          <fgColor rgb="00FFEBEE"/>
          <b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3" customWidth="1" min="8" max="8"/>
    <col width="20" customWidth="1" min="9" max="9"/>
    <col width="18" customWidth="1" min="10" max="10"/>
    <col width="18" customWidth="1" min="11" max="11"/>
    <col width="16" customWidth="1" min="12" max="12"/>
    <col width="12" customWidth="1" min="13" max="13"/>
    <col width="8" customWidth="1" min="14" max="14"/>
    <col width="11" customWidth="1" min="15" max="15"/>
    <col width="11" customWidth="1" min="16" max="16"/>
    <col width="11" customWidth="1" min="17" max="17"/>
    <col width="11" customWidth="1" min="18" max="18"/>
    <col width="10" customWidth="1" min="19" max="19"/>
    <col width="10" customWidth="1" min="20" max="20"/>
    <col width="8" customWidth="1" min="21" max="21"/>
    <col width="18" customWidth="1" min="22" max="22"/>
    <col width="8" customWidth="1" min="23" max="23"/>
    <col width="10" customWidth="1" min="24" max="24"/>
    <col width="12" customWidth="1" min="25" max="25"/>
    <col width="8" customWidth="1" min="26" max="26"/>
    <col width="12" customWidth="1" min="27" max="27"/>
    <col width="8" customWidth="1" min="28" max="28"/>
    <col width="20" customWidth="1" min="29" max="29"/>
  </cols>
  <sheetData>
    <row r="1" ht="35" customHeight="1">
      <c r="A1" s="1" t="inlineStr">
        <is>
          <t>CORE TALENTS  |  COMPANY OUTREACH TRACKER</t>
        </is>
      </c>
    </row>
    <row r="2" ht="20" customHeight="1">
      <c r="A2" s="2" t="inlineStr">
        <is>
          <t>Track every company contact, tier interest, and hiring partnership pipeline  |  ABM Groups</t>
        </is>
      </c>
    </row>
    <row r="3" ht="30" customHeight="1">
      <c r="A3" s="3" t="inlineStr">
        <is>
          <t>#</t>
        </is>
      </c>
      <c r="B3" s="4" t="inlineStr">
        <is>
          <t>Company Name</t>
        </is>
      </c>
      <c r="C3" s="4" t="inlineStr">
        <is>
          <t>Industry</t>
        </is>
      </c>
      <c r="D3" s="4" t="inlineStr">
        <is>
          <t>City</t>
        </is>
      </c>
      <c r="E3" s="4" t="inlineStr">
        <is>
          <t>District</t>
        </is>
      </c>
      <c r="F3" s="4" t="inlineStr">
        <is>
          <t>Company Size</t>
        </is>
      </c>
      <c r="G3" s="3" t="inlineStr">
        <is>
          <t>HR Name</t>
        </is>
      </c>
      <c r="H3" s="3" t="inlineStr">
        <is>
          <t>HR Phone</t>
        </is>
      </c>
      <c r="I3" s="3" t="inlineStr">
        <is>
          <t>HR Email</t>
        </is>
      </c>
      <c r="J3" s="5" t="inlineStr">
        <is>
          <t>LinkedIn</t>
        </is>
      </c>
      <c r="K3" s="5" t="inlineStr">
        <is>
          <t>Website</t>
        </is>
      </c>
      <c r="L3" s="5" t="inlineStr">
        <is>
          <t>Roles Hiring</t>
        </is>
      </c>
      <c r="M3" s="5" t="inlineStr">
        <is>
          <t>Lead Source</t>
        </is>
      </c>
      <c r="N3" s="6" t="inlineStr">
        <is>
          <t>AI Score</t>
        </is>
      </c>
      <c r="O3" s="7" t="inlineStr">
        <is>
          <t>WA M1 Date</t>
        </is>
      </c>
      <c r="P3" s="7" t="inlineStr">
        <is>
          <t>WA M2 Date</t>
        </is>
      </c>
      <c r="Q3" s="7" t="inlineStr">
        <is>
          <t>WA M3 Date</t>
        </is>
      </c>
      <c r="R3" s="7" t="inlineStr">
        <is>
          <t>WA M4 Date</t>
        </is>
      </c>
      <c r="S3" s="8" t="inlineStr">
        <is>
          <t>Email M1</t>
        </is>
      </c>
      <c r="T3" s="8" t="inlineStr">
        <is>
          <t>Email M2</t>
        </is>
      </c>
      <c r="U3" s="9" t="inlineStr">
        <is>
          <t>Replied?</t>
        </is>
      </c>
      <c r="V3" s="9" t="inlineStr">
        <is>
          <t>Reply Notes</t>
        </is>
      </c>
      <c r="W3" s="4" t="inlineStr">
        <is>
          <t>Call Done?</t>
        </is>
      </c>
      <c r="X3" s="3" t="inlineStr">
        <is>
          <t>Tier Interest</t>
        </is>
      </c>
      <c r="Y3" s="3" t="inlineStr">
        <is>
          <t>Agreement</t>
        </is>
      </c>
      <c r="Z3" s="3" t="inlineStr">
        <is>
          <t>Free Hires</t>
        </is>
      </c>
      <c r="AA3" s="7" t="inlineStr">
        <is>
          <t>n8n Status</t>
        </is>
      </c>
      <c r="AB3" s="10" t="inlineStr">
        <is>
          <t>Priority</t>
        </is>
      </c>
      <c r="AC3" s="5" t="inlineStr">
        <is>
          <t>Notes</t>
        </is>
      </c>
    </row>
    <row r="4" ht="18" customHeight="1">
      <c r="A4" s="11" t="n">
        <v>1</v>
      </c>
      <c r="B4" s="11" t="inlineStr">
        <is>
          <t>Digital Spark Agency</t>
        </is>
      </c>
      <c r="C4" s="11" t="inlineStr">
        <is>
          <t>Digital Marketing</t>
        </is>
      </c>
      <c r="D4" s="11" t="inlineStr">
        <is>
          <t>Pondicherry</t>
        </is>
      </c>
      <c r="E4" s="11" t="inlineStr">
        <is>
          <t>Pondicherry</t>
        </is>
      </c>
      <c r="F4" s="11" t="inlineStr">
        <is>
          <t>10-25</t>
        </is>
      </c>
      <c r="G4" s="11" t="inlineStr">
        <is>
          <t>Ms. Kavitha</t>
        </is>
      </c>
      <c r="H4" s="11" t="inlineStr">
        <is>
          <t>94XXXXXXXX</t>
        </is>
      </c>
      <c r="I4" s="11" t="inlineStr">
        <is>
          <t>kavitha@digitalspark.in</t>
        </is>
      </c>
      <c r="J4" s="11" t="inlineStr">
        <is>
          <t>linkedin.com/company/digitalspark</t>
        </is>
      </c>
      <c r="K4" s="11" t="inlineStr">
        <is>
          <t>digitalspark.in</t>
        </is>
      </c>
      <c r="L4" s="11" t="inlineStr">
        <is>
          <t>DM Executive, Content Writer</t>
        </is>
      </c>
      <c r="M4" s="11" t="inlineStr">
        <is>
          <t>Google Maps</t>
        </is>
      </c>
      <c r="N4" s="11" t="inlineStr"/>
      <c r="O4" s="11" t="inlineStr"/>
      <c r="P4" s="11" t="inlineStr"/>
      <c r="Q4" s="11" t="inlineStr"/>
      <c r="R4" s="11" t="inlineStr"/>
      <c r="S4" s="11" t="inlineStr"/>
      <c r="T4" s="11" t="inlineStr">
        <is>
          <t>No</t>
        </is>
      </c>
      <c r="U4" s="11" t="inlineStr"/>
      <c r="V4" s="11" t="inlineStr">
        <is>
          <t>No</t>
        </is>
      </c>
      <c r="W4" s="11" t="inlineStr">
        <is>
          <t>Free</t>
        </is>
      </c>
      <c r="X4" s="11" t="inlineStr">
        <is>
          <t>None</t>
        </is>
      </c>
      <c r="Y4" s="11" t="n">
        <v>0</v>
      </c>
      <c r="Z4" s="11" t="inlineStr">
        <is>
          <t>SEND</t>
        </is>
      </c>
      <c r="AA4" s="11" t="inlineStr">
        <is>
          <t>High</t>
        </is>
      </c>
      <c r="AB4" s="11" t="inlineStr"/>
    </row>
    <row r="5" ht="18" customHeight="1">
      <c r="A5" s="12" t="n">
        <v>2</v>
      </c>
      <c r="B5" s="12" t="inlineStr">
        <is>
          <t>TechVision IT Solutions</t>
        </is>
      </c>
      <c r="C5" s="12" t="inlineStr">
        <is>
          <t>IT/Software</t>
        </is>
      </c>
      <c r="D5" s="12" t="inlineStr">
        <is>
          <t>Chennai</t>
        </is>
      </c>
      <c r="E5" s="12" t="inlineStr">
        <is>
          <t>Chennai</t>
        </is>
      </c>
      <c r="F5" s="12" t="inlineStr">
        <is>
          <t>25-50</t>
        </is>
      </c>
      <c r="G5" s="12" t="inlineStr">
        <is>
          <t>Mr. Arjun</t>
        </is>
      </c>
      <c r="H5" s="12" t="inlineStr">
        <is>
          <t>98XXXXXXXX</t>
        </is>
      </c>
      <c r="I5" s="12" t="inlineStr">
        <is>
          <t>arjun@techvision.in</t>
        </is>
      </c>
      <c r="J5" s="12" t="inlineStr"/>
      <c r="K5" s="12" t="inlineStr">
        <is>
          <t>techvision.in</t>
        </is>
      </c>
      <c r="L5" s="12" t="inlineStr">
        <is>
          <t>React Developer, NodeJS Dev</t>
        </is>
      </c>
      <c r="M5" s="12" t="inlineStr">
        <is>
          <t>LinkedIn</t>
        </is>
      </c>
      <c r="N5" s="12" t="inlineStr"/>
      <c r="O5" s="12" t="inlineStr"/>
      <c r="P5" s="12" t="inlineStr"/>
      <c r="Q5" s="12" t="inlineStr"/>
      <c r="R5" s="12" t="inlineStr"/>
      <c r="S5" s="12" t="inlineStr"/>
      <c r="T5" s="12" t="inlineStr">
        <is>
          <t>No</t>
        </is>
      </c>
      <c r="U5" s="12" t="inlineStr"/>
      <c r="V5" s="12" t="inlineStr">
        <is>
          <t>No</t>
        </is>
      </c>
      <c r="W5" s="12" t="inlineStr">
        <is>
          <t>Free</t>
        </is>
      </c>
      <c r="X5" s="12" t="inlineStr">
        <is>
          <t>None</t>
        </is>
      </c>
      <c r="Y5" s="12" t="n">
        <v>0</v>
      </c>
      <c r="Z5" s="12" t="inlineStr">
        <is>
          <t>SEND</t>
        </is>
      </c>
      <c r="AA5" s="12" t="inlineStr">
        <is>
          <t>High</t>
        </is>
      </c>
      <c r="AB5" s="12" t="inlineStr"/>
    </row>
    <row r="6" ht="18" customHeight="1">
      <c r="A6" s="11" t="n">
        <v>3</v>
      </c>
      <c r="B6" s="11" t="inlineStr">
        <is>
          <t>Raangi E-commerce</t>
        </is>
      </c>
      <c r="C6" s="11" t="inlineStr">
        <is>
          <t>E-Commerce</t>
        </is>
      </c>
      <c r="D6" s="11" t="inlineStr">
        <is>
          <t>Coimbatore</t>
        </is>
      </c>
      <c r="E6" s="11" t="inlineStr">
        <is>
          <t>Coimbatore</t>
        </is>
      </c>
      <c r="F6" s="11" t="inlineStr">
        <is>
          <t>10-25</t>
        </is>
      </c>
      <c r="G6" s="11" t="inlineStr">
        <is>
          <t>Mrs. Nisha</t>
        </is>
      </c>
      <c r="H6" s="11" t="inlineStr">
        <is>
          <t>90XXXXXXXX</t>
        </is>
      </c>
      <c r="I6" s="11" t="inlineStr">
        <is>
          <t>nisha@raangi.in</t>
        </is>
      </c>
      <c r="J6" s="11" t="inlineStr"/>
      <c r="K6" s="11" t="inlineStr">
        <is>
          <t>raangi.in</t>
        </is>
      </c>
      <c r="L6" s="11" t="inlineStr">
        <is>
          <t>DM, Content, SEO</t>
        </is>
      </c>
      <c r="M6" s="11" t="inlineStr">
        <is>
          <t>JustDial</t>
        </is>
      </c>
      <c r="N6" s="11" t="inlineStr"/>
      <c r="O6" s="11" t="inlineStr"/>
      <c r="P6" s="11" t="inlineStr"/>
      <c r="Q6" s="11" t="inlineStr"/>
      <c r="R6" s="11" t="inlineStr"/>
      <c r="S6" s="11" t="inlineStr"/>
      <c r="T6" s="11" t="inlineStr">
        <is>
          <t>No</t>
        </is>
      </c>
      <c r="U6" s="11" t="inlineStr"/>
      <c r="V6" s="11" t="inlineStr">
        <is>
          <t>No</t>
        </is>
      </c>
      <c r="W6" s="11" t="inlineStr"/>
      <c r="X6" s="11" t="inlineStr">
        <is>
          <t>None</t>
        </is>
      </c>
      <c r="Y6" s="11" t="n">
        <v>0</v>
      </c>
      <c r="Z6" s="11" t="inlineStr">
        <is>
          <t>SEND</t>
        </is>
      </c>
      <c r="AA6" s="11" t="inlineStr">
        <is>
          <t>Medium</t>
        </is>
      </c>
      <c r="AB6" s="11" t="inlineStr"/>
    </row>
    <row r="7" ht="18" customHeight="1">
      <c r="A7" s="13" t="n">
        <v>4</v>
      </c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</row>
    <row r="8" ht="18" customHeight="1">
      <c r="A8" s="13" t="n">
        <v>5</v>
      </c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1" t="inlineStr"/>
      <c r="V8" s="11" t="inlineStr"/>
      <c r="W8" s="11" t="inlineStr"/>
      <c r="X8" s="11" t="inlineStr"/>
      <c r="Y8" s="11" t="inlineStr"/>
      <c r="Z8" s="11" t="inlineStr"/>
      <c r="AA8" s="11" t="inlineStr"/>
      <c r="AB8" s="11" t="inlineStr"/>
      <c r="AC8" s="11" t="inlineStr"/>
    </row>
    <row r="9" ht="18" customHeight="1">
      <c r="A9" s="13" t="n">
        <v>6</v>
      </c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</row>
    <row r="10" ht="18" customHeight="1">
      <c r="A10" s="13" t="n">
        <v>7</v>
      </c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1" t="inlineStr"/>
      <c r="V10" s="11" t="inlineStr"/>
      <c r="W10" s="11" t="inlineStr"/>
      <c r="X10" s="11" t="inlineStr"/>
      <c r="Y10" s="11" t="inlineStr"/>
      <c r="Z10" s="11" t="inlineStr"/>
      <c r="AA10" s="11" t="inlineStr"/>
      <c r="AB10" s="11" t="inlineStr"/>
      <c r="AC10" s="11" t="inlineStr"/>
    </row>
    <row r="11" ht="18" customHeight="1">
      <c r="A11" s="13" t="n">
        <v>8</v>
      </c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</row>
    <row r="12" ht="18" customHeight="1">
      <c r="A12" s="13" t="n">
        <v>9</v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  <c r="V12" s="11" t="inlineStr"/>
      <c r="W12" s="11" t="inlineStr"/>
      <c r="X12" s="11" t="inlineStr"/>
      <c r="Y12" s="11" t="inlineStr"/>
      <c r="Z12" s="11" t="inlineStr"/>
      <c r="AA12" s="11" t="inlineStr"/>
      <c r="AB12" s="11" t="inlineStr"/>
      <c r="AC12" s="11" t="inlineStr"/>
    </row>
    <row r="13" ht="18" customHeight="1">
      <c r="A13" s="13" t="n">
        <v>10</v>
      </c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</row>
    <row r="14" ht="18" customHeight="1">
      <c r="A14" s="13" t="n">
        <v>11</v>
      </c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1" t="inlineStr"/>
      <c r="V14" s="11" t="inlineStr"/>
      <c r="W14" s="11" t="inlineStr"/>
      <c r="X14" s="11" t="inlineStr"/>
      <c r="Y14" s="11" t="inlineStr"/>
      <c r="Z14" s="11" t="inlineStr"/>
      <c r="AA14" s="11" t="inlineStr"/>
      <c r="AB14" s="11" t="inlineStr"/>
      <c r="AC14" s="11" t="inlineStr"/>
    </row>
    <row r="15" ht="18" customHeight="1">
      <c r="A15" s="13" t="n">
        <v>12</v>
      </c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</row>
    <row r="16" ht="18" customHeight="1">
      <c r="A16" s="13" t="n">
        <v>13</v>
      </c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1" t="inlineStr"/>
      <c r="V16" s="11" t="inlineStr"/>
      <c r="W16" s="11" t="inlineStr"/>
      <c r="X16" s="11" t="inlineStr"/>
      <c r="Y16" s="11" t="inlineStr"/>
      <c r="Z16" s="11" t="inlineStr"/>
      <c r="AA16" s="11" t="inlineStr"/>
      <c r="AB16" s="11" t="inlineStr"/>
      <c r="AC16" s="11" t="inlineStr"/>
    </row>
    <row r="17" ht="18" customHeight="1">
      <c r="A17" s="13" t="n">
        <v>14</v>
      </c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</row>
    <row r="18" ht="18" customHeight="1">
      <c r="A18" s="13" t="n">
        <v>15</v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1" t="inlineStr"/>
      <c r="V18" s="11" t="inlineStr"/>
      <c r="W18" s="11" t="inlineStr"/>
      <c r="X18" s="11" t="inlineStr"/>
      <c r="Y18" s="11" t="inlineStr"/>
      <c r="Z18" s="11" t="inlineStr"/>
      <c r="AA18" s="11" t="inlineStr"/>
      <c r="AB18" s="11" t="inlineStr"/>
      <c r="AC18" s="11" t="inlineStr"/>
    </row>
    <row r="19" ht="18" customHeight="1">
      <c r="A19" s="13" t="n">
        <v>16</v>
      </c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</row>
    <row r="20" ht="18" customHeight="1">
      <c r="A20" s="13" t="n">
        <v>17</v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1" t="inlineStr"/>
      <c r="V20" s="11" t="inlineStr"/>
      <c r="W20" s="11" t="inlineStr"/>
      <c r="X20" s="11" t="inlineStr"/>
      <c r="Y20" s="11" t="inlineStr"/>
      <c r="Z20" s="11" t="inlineStr"/>
      <c r="AA20" s="11" t="inlineStr"/>
      <c r="AB20" s="11" t="inlineStr"/>
      <c r="AC20" s="11" t="inlineStr"/>
    </row>
    <row r="21" ht="18" customHeight="1">
      <c r="A21" s="13" t="n">
        <v>18</v>
      </c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</row>
    <row r="22" ht="18" customHeight="1">
      <c r="A22" s="13" t="n">
        <v>19</v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1" t="inlineStr"/>
      <c r="V22" s="11" t="inlineStr"/>
      <c r="W22" s="11" t="inlineStr"/>
      <c r="X22" s="11" t="inlineStr"/>
      <c r="Y22" s="11" t="inlineStr"/>
      <c r="Z22" s="11" t="inlineStr"/>
      <c r="AA22" s="11" t="inlineStr"/>
      <c r="AB22" s="11" t="inlineStr"/>
      <c r="AC22" s="11" t="inlineStr"/>
    </row>
    <row r="23" ht="18" customHeight="1">
      <c r="A23" s="13" t="n">
        <v>20</v>
      </c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</row>
    <row r="24" ht="18" customHeight="1">
      <c r="A24" s="13" t="n">
        <v>21</v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1" t="inlineStr"/>
      <c r="V24" s="11" t="inlineStr"/>
      <c r="W24" s="11" t="inlineStr"/>
      <c r="X24" s="11" t="inlineStr"/>
      <c r="Y24" s="11" t="inlineStr"/>
      <c r="Z24" s="11" t="inlineStr"/>
      <c r="AA24" s="11" t="inlineStr"/>
      <c r="AB24" s="11" t="inlineStr"/>
      <c r="AC24" s="11" t="inlineStr"/>
    </row>
    <row r="25" ht="18" customHeight="1">
      <c r="A25" s="13" t="n">
        <v>22</v>
      </c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</row>
    <row r="26" ht="18" customHeight="1">
      <c r="A26" s="13" t="n">
        <v>23</v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11" t="inlineStr"/>
      <c r="S26" s="11" t="inlineStr"/>
      <c r="T26" s="11" t="inlineStr"/>
      <c r="U26" s="11" t="inlineStr"/>
      <c r="V26" s="11" t="inlineStr"/>
      <c r="W26" s="11" t="inlineStr"/>
      <c r="X26" s="11" t="inlineStr"/>
      <c r="Y26" s="11" t="inlineStr"/>
      <c r="Z26" s="11" t="inlineStr"/>
      <c r="AA26" s="11" t="inlineStr"/>
      <c r="AB26" s="11" t="inlineStr"/>
      <c r="AC26" s="11" t="inlineStr"/>
    </row>
    <row r="27" ht="18" customHeight="1">
      <c r="A27" s="13" t="n">
        <v>24</v>
      </c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</row>
    <row r="28" ht="18" customHeight="1">
      <c r="A28" s="13" t="n">
        <v>25</v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  <c r="S28" s="11" t="inlineStr"/>
      <c r="T28" s="11" t="inlineStr"/>
      <c r="U28" s="11" t="inlineStr"/>
      <c r="V28" s="11" t="inlineStr"/>
      <c r="W28" s="11" t="inlineStr"/>
      <c r="X28" s="11" t="inlineStr"/>
      <c r="Y28" s="11" t="inlineStr"/>
      <c r="Z28" s="11" t="inlineStr"/>
      <c r="AA28" s="11" t="inlineStr"/>
      <c r="AB28" s="11" t="inlineStr"/>
      <c r="AC28" s="11" t="inlineStr"/>
    </row>
    <row r="29" ht="18" customHeight="1">
      <c r="A29" s="13" t="n">
        <v>26</v>
      </c>
      <c r="B29" s="12" t="inlineStr"/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</row>
    <row r="30" ht="18" customHeight="1">
      <c r="A30" s="13" t="n">
        <v>27</v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11" t="inlineStr"/>
      <c r="S30" s="11" t="inlineStr"/>
      <c r="T30" s="11" t="inlineStr"/>
      <c r="U30" s="11" t="inlineStr"/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/>
      <c r="AC30" s="11" t="inlineStr"/>
    </row>
    <row r="31" ht="18" customHeight="1">
      <c r="A31" s="13" t="n">
        <v>28</v>
      </c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</row>
    <row r="32" ht="18" customHeight="1">
      <c r="A32" s="13" t="n">
        <v>29</v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1" t="inlineStr"/>
      <c r="S32" s="11" t="inlineStr"/>
      <c r="T32" s="11" t="inlineStr"/>
      <c r="U32" s="11" t="inlineStr"/>
      <c r="V32" s="11" t="inlineStr"/>
      <c r="W32" s="11" t="inlineStr"/>
      <c r="X32" s="11" t="inlineStr"/>
      <c r="Y32" s="11" t="inlineStr"/>
      <c r="Z32" s="11" t="inlineStr"/>
      <c r="AA32" s="11" t="inlineStr"/>
      <c r="AB32" s="11" t="inlineStr"/>
      <c r="AC32" s="11" t="inlineStr"/>
    </row>
    <row r="33" ht="18" customHeight="1">
      <c r="A33" s="13" t="n">
        <v>30</v>
      </c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</row>
  </sheetData>
  <mergeCells count="2">
    <mergeCell ref="A1:Z1"/>
    <mergeCell ref="A2:Z2"/>
  </mergeCells>
  <conditionalFormatting sqref="A4:AC33">
    <cfRule type="expression" priority="1" dxfId="0">
      <formula>$U4="Yes"</formula>
    </cfRule>
    <cfRule type="expression" priority="2" dxfId="1">
      <formula>$Y4="Signed"</formula>
    </cfRule>
    <cfRule type="expression" priority="3" dxfId="2">
      <formula>$AB4="High"</formula>
    </cfRule>
  </conditionalFormatting>
  <dataValidations count="8">
    <dataValidation sqref="C4:C33" showDropDown="0" showInputMessage="1" showErrorMessage="1" allowBlank="1" errorTitle="Error" error="Invalid value" promptTitle="Industry" prompt="Select industry type" type="list">
      <formula1>"Digital Marketing,IT/Software,BPO/KPO,E-Commerce,Manufacturing,Healthcare,Retail,Real Estate,Education,Other"</formula1>
    </dataValidation>
    <dataValidation sqref="F4:F33" showDropDown="0" showInputMessage="1" showErrorMessage="1" allowBlank="1" errorTitle="Error" error="Invalid value" promptTitle="Company Size" prompt="Select company size range" type="list">
      <formula1>"1-10,10-25,25-50,50-100,100-500,500+"</formula1>
    </dataValidation>
    <dataValidation sqref="U4:U33" showDropDown="0" showInputMessage="1" showErrorMessage="1" allowBlank="1" errorTitle="Error" error="Invalid value" promptTitle="Replied?" prompt="Has the HR replied?" type="list">
      <formula1>"Yes,No"</formula1>
    </dataValidation>
    <dataValidation sqref="W4:W33" showDropDown="0" showInputMessage="1" showErrorMessage="1" allowBlank="1" errorTitle="Error" error="Invalid value" promptTitle="Call Done?" prompt="Has a call happened?" type="list">
      <formula1>"Yes,No"</formula1>
    </dataValidation>
    <dataValidation sqref="X4:X33" showDropDown="0" showInputMessage="1" showErrorMessage="1" allowBlank="1" errorTitle="Error" error="Invalid value" promptTitle="Tier Interest" prompt="Which tier are they interested in?" type="list">
      <formula1>"Free,Growth,Partner Retainer,Not Interested"</formula1>
    </dataValidation>
    <dataValidation sqref="Y4:Y33" showDropDown="0" showInputMessage="1" showErrorMessage="1" allowBlank="1" errorTitle="Error" error="Invalid value" promptTitle="Agreement Status" prompt="MoU/Agreement status" type="list">
      <formula1>"None,Draft Sent,Signed,Rejected"</formula1>
    </dataValidation>
    <dataValidation sqref="AA4:AA33" showDropDown="0" showInputMessage="1" showErrorMessage="1" allowBlank="1" errorTitle="Error" error="Invalid value" promptTitle="n8n Status" prompt="Automation status" type="list">
      <formula1>"SEND,HOLD,SENT_M1,SENT_M2,SENT_M3,SENT_M4,REPLIED,SEQUENCE_DONE"</formula1>
    </dataValidation>
    <dataValidation sqref="AB4:AB33" showDropDown="0" showInputMessage="1" showErrorMessage="1" allowBlank="1" errorTitle="Error" error="Invalid value" promptTitle="Priority" prompt="Lead priority level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 ht="30" customHeight="1">
      <c r="A1" s="14" t="inlineStr">
        <is>
          <t>CT COMPANIES — CAMPAIGN DASHBOARD</t>
        </is>
      </c>
    </row>
    <row r="3" ht="22" customHeight="1">
      <c r="A3" s="15" t="inlineStr">
        <is>
          <t>Total Companies</t>
        </is>
      </c>
      <c r="B3" s="16">
        <f>COUNTA(CT_Companies!B4:B33)</f>
        <v/>
      </c>
    </row>
    <row r="4" ht="22" customHeight="1">
      <c r="A4" s="15" t="inlineStr">
        <is>
          <t>WA M1 Sent</t>
        </is>
      </c>
      <c r="B4" s="16">
        <f>COUNTIF(CT_Companies!O4:O33,"&lt;&gt;")</f>
        <v/>
      </c>
    </row>
    <row r="5" ht="22" customHeight="1">
      <c r="A5" s="15" t="inlineStr">
        <is>
          <t>Replied</t>
        </is>
      </c>
      <c r="B5" s="16">
        <f>COUNTIF(CT_Companies!U4:U33,"Yes")</f>
        <v/>
      </c>
    </row>
    <row r="6" ht="22" customHeight="1">
      <c r="A6" s="15" t="inlineStr">
        <is>
          <t>Calls Done</t>
        </is>
      </c>
      <c r="B6" s="16">
        <f>COUNTIF(CT_Companies!W4:W33,"Yes")</f>
        <v/>
      </c>
    </row>
    <row r="7" ht="22" customHeight="1">
      <c r="A7" s="15" t="inlineStr">
        <is>
          <t>Free Tier Interest</t>
        </is>
      </c>
      <c r="B7" s="16">
        <f>COUNTIF(CT_Companies!X4:X33,"Free")</f>
        <v/>
      </c>
    </row>
    <row r="8" ht="22" customHeight="1">
      <c r="A8" s="15" t="inlineStr">
        <is>
          <t>Growth Tier Interest</t>
        </is>
      </c>
      <c r="B8" s="16">
        <f>COUNTIF(CT_Companies!X4:X33,"Growth")</f>
        <v/>
      </c>
    </row>
    <row r="9" ht="22" customHeight="1">
      <c r="A9" s="15" t="inlineStr">
        <is>
          <t>Partner Retainer Interest</t>
        </is>
      </c>
      <c r="B9" s="16">
        <f>COUNTIF(CT_Companies!X4:X33,"Partner Retainer")</f>
        <v/>
      </c>
    </row>
    <row r="10" ht="22" customHeight="1">
      <c r="A10" s="15" t="inlineStr">
        <is>
          <t>MoUs Signed</t>
        </is>
      </c>
      <c r="B10" s="16">
        <f>COUNTIF(CT_Companies!Y4:Y33,"Signed")</f>
        <v/>
      </c>
    </row>
    <row r="11" ht="22" customHeight="1">
      <c r="A11" s="15" t="inlineStr">
        <is>
          <t>High Priority Leads</t>
        </is>
      </c>
      <c r="B11" s="16">
        <f>COUNTIF(CT_Companies!AB4:AB33,"High")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2026-05-31T08:26:01Z</dcterms:created>
  <dcterms:modified xmlns:dcterms="http://purl.org/dc/terms/" xmlns:xsi="http://www.w3.org/2001/XMLSchema-instance" xsi:type="dcterms:W3CDTF">2026-05-31T08:26:02Z</dcterms:modified>
</cp:coreProperties>
</file>