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CHX_Clinics" sheetId="1" state="visible" r:id="rId1"/>
    <sheet xmlns:r="http://schemas.openxmlformats.org/officeDocument/2006/relationships" name="AUDIT GUIDE" sheetId="2" state="visible" r:id="rId2"/>
    <sheet xmlns:r="http://schemas.openxmlformats.org/officeDocument/2006/relationships" name="DASHBOAR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E4A500"/>
      <sz val="14"/>
    </font>
    <font>
      <name val="Arial"/>
      <color rgb="00AAAAAA"/>
      <sz val="9"/>
    </font>
    <font>
      <name val="Arial"/>
      <b val="1"/>
      <color rgb="00FFFFFF"/>
      <sz val="9"/>
    </font>
    <font>
      <name val="Arial"/>
      <color rgb="001A1A2E"/>
      <sz val="9"/>
    </font>
    <font>
      <name val="Arial"/>
      <b val="1"/>
      <color rgb="006A1B9A"/>
      <sz val="10"/>
    </font>
    <font>
      <name val="Arial"/>
      <b val="1"/>
      <color rgb="006A1B9A"/>
      <sz val="9"/>
    </font>
    <font>
      <name val="Arial"/>
      <b val="1"/>
      <color rgb="00E4A500"/>
      <sz val="9"/>
    </font>
    <font>
      <name val="Arial"/>
      <b val="1"/>
      <color rgb="00E4A500"/>
      <sz val="12"/>
    </font>
    <font>
      <name val="Arial"/>
      <b val="1"/>
      <color rgb="00E4A500"/>
      <sz val="13"/>
    </font>
    <font>
      <name val="Arial"/>
      <b val="1"/>
      <color rgb="001A1A2E"/>
      <sz val="10"/>
    </font>
  </fonts>
  <fills count="13">
    <fill>
      <patternFill/>
    </fill>
    <fill>
      <patternFill patternType="gray125"/>
    </fill>
    <fill>
      <patternFill patternType="solid">
        <fgColor rgb="000D1B2A"/>
      </patternFill>
    </fill>
    <fill>
      <patternFill patternType="solid">
        <fgColor rgb="00007B83"/>
      </patternFill>
    </fill>
    <fill>
      <patternFill patternType="solid">
        <fgColor rgb="006C757D"/>
      </patternFill>
    </fill>
    <fill>
      <patternFill patternType="solid">
        <fgColor rgb="00880E4F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65100"/>
      </patternFill>
    </fill>
    <fill>
      <patternFill patternType="solid">
        <fgColor rgb="002E7D32"/>
      </patternFill>
    </fill>
    <fill>
      <patternFill patternType="solid">
        <fgColor rgb="00FFFFFF"/>
      </patternFill>
    </fill>
    <fill>
      <patternFill patternType="solid">
        <fgColor rgb="00F3E5F5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DEE2E6"/>
      </left>
      <right style="thin">
        <color rgb="00DEE2E6"/>
      </right>
      <top style="thin">
        <color rgb="00DEE2E6"/>
      </top>
      <bottom style="thin">
        <color rgb="00DEE2E6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left" vertical="center" wrapText="1"/>
    </xf>
    <xf numFmtId="1" fontId="5" fillId="11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center" vertical="center" wrapText="1"/>
    </xf>
    <xf numFmtId="0" fontId="4" fillId="12" borderId="1" applyAlignment="1" pivotButton="0" quotePrefix="0" xfId="0">
      <alignment horizontal="left" vertical="center" wrapText="1"/>
    </xf>
    <xf numFmtId="0" fontId="7" fillId="2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0" fontId="8" fillId="2" borderId="0" pivotButton="0" quotePrefix="0" xfId="0"/>
    <xf numFmtId="0" fontId="3" fillId="3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9" fillId="2" borderId="0" pivotButton="0" quotePrefix="0" xfId="0"/>
    <xf numFmtId="0" fontId="10" fillId="1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ill>
        <patternFill patternType="solid">
          <fgColor rgb="00FFE0B2"/>
          <bgColor rgb="00FFE0B2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5F5F5"/>
          <bgColor rgb="00F5F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13" customWidth="1" min="3" max="3"/>
    <col width="14" customWidth="1" min="4" max="4"/>
    <col width="13" customWidth="1" min="5" max="5"/>
    <col width="13" customWidth="1" min="6" max="6"/>
    <col width="14" customWidth="1" min="7" max="7"/>
    <col width="12" customWidth="1" min="8" max="8"/>
    <col width="18" customWidth="1" min="9" max="9"/>
    <col width="8" customWidth="1" min="10" max="10"/>
    <col width="8" customWidth="1" min="11" max="11"/>
    <col width="10" customWidth="1" min="12" max="12"/>
    <col width="8" customWidth="1" min="13" max="13"/>
    <col width="8" customWidth="1" min="14" max="14"/>
    <col width="8" customWidth="1" min="15" max="15"/>
    <col width="8" customWidth="1" min="16" max="16"/>
    <col width="10" customWidth="1" min="17" max="17"/>
    <col width="8" customWidth="1" min="18" max="18"/>
    <col width="9" customWidth="1" min="19" max="19"/>
    <col width="9" customWidth="1" min="20" max="20"/>
    <col width="11" customWidth="1" min="21" max="21"/>
    <col width="11" customWidth="1" min="22" max="22"/>
    <col width="11" customWidth="1" min="23" max="23"/>
    <col width="11" customWidth="1" min="24" max="24"/>
    <col width="8" customWidth="1" min="25" max="25"/>
    <col width="8" customWidth="1" min="26" max="26"/>
    <col width="8" customWidth="1" min="27" max="27"/>
    <col width="12" customWidth="1" min="28" max="28"/>
    <col width="12" customWidth="1" min="29" max="29"/>
    <col width="12" customWidth="1" min="30" max="30"/>
    <col width="20" customWidth="1" min="31" max="31"/>
  </cols>
  <sheetData>
    <row r="1" ht="35" customHeight="1">
      <c r="A1" s="1" t="inlineStr">
        <is>
          <t>BM TECHX  |  CLINIC OUTREACH + AUDIT TRACKER</t>
        </is>
      </c>
    </row>
    <row r="2" ht="20" customHeight="1">
      <c r="A2" s="2" t="inlineStr">
        <is>
          <t>Manual audit scores auto-calculate grade  |  HOT = immediate outreach  |  ABM Groups</t>
        </is>
      </c>
    </row>
    <row r="3" ht="30" customHeight="1">
      <c r="A3" s="3" t="inlineStr">
        <is>
          <t>#</t>
        </is>
      </c>
      <c r="B3" s="4" t="inlineStr">
        <is>
          <t>Clinic Name</t>
        </is>
      </c>
      <c r="C3" s="4" t="inlineStr">
        <is>
          <t>Specialty</t>
        </is>
      </c>
      <c r="D3" s="4" t="inlineStr">
        <is>
          <t>Doctor Name</t>
        </is>
      </c>
      <c r="E3" s="3" t="inlineStr">
        <is>
          <t>Phone</t>
        </is>
      </c>
      <c r="F3" s="3" t="inlineStr">
        <is>
          <t>WA Number</t>
        </is>
      </c>
      <c r="G3" s="3" t="inlineStr">
        <is>
          <t>Area</t>
        </is>
      </c>
      <c r="H3" s="3" t="inlineStr">
        <is>
          <t>City</t>
        </is>
      </c>
      <c r="I3" s="5" t="inlineStr">
        <is>
          <t>Maps Link</t>
        </is>
      </c>
      <c r="J3" s="6" t="inlineStr">
        <is>
          <t>GMB Exists</t>
        </is>
      </c>
      <c r="K3" s="6" t="inlineStr">
        <is>
          <t>GMB Reviews</t>
        </is>
      </c>
      <c r="L3" s="6" t="inlineStr">
        <is>
          <t>GMB Last Post</t>
        </is>
      </c>
      <c r="M3" s="6" t="inlineStr">
        <is>
          <t>GMB Photos</t>
        </is>
      </c>
      <c r="N3" s="6" t="inlineStr">
        <is>
          <t>Website</t>
        </is>
      </c>
      <c r="O3" s="7" t="inlineStr">
        <is>
          <t>Insta Exists</t>
        </is>
      </c>
      <c r="P3" s="7" t="inlineStr">
        <is>
          <t>Insta Followers</t>
        </is>
      </c>
      <c r="Q3" s="7" t="inlineStr">
        <is>
          <t>Insta Last Post</t>
        </is>
      </c>
      <c r="R3" s="7" t="inlineStr">
        <is>
          <t>Running Ads</t>
        </is>
      </c>
      <c r="S3" s="8" t="inlineStr">
        <is>
          <t>AUDIT SCORE</t>
        </is>
      </c>
      <c r="T3" s="8" t="inlineStr">
        <is>
          <t>GRADE</t>
        </is>
      </c>
      <c r="U3" s="9" t="inlineStr">
        <is>
          <t>WA M1 Date</t>
        </is>
      </c>
      <c r="V3" s="9" t="inlineStr">
        <is>
          <t>WA M2 Date</t>
        </is>
      </c>
      <c r="W3" s="9" t="inlineStr">
        <is>
          <t>WA M3 Date</t>
        </is>
      </c>
      <c r="X3" s="9" t="inlineStr">
        <is>
          <t>WA M4 Date</t>
        </is>
      </c>
      <c r="Y3" s="10" t="inlineStr">
        <is>
          <t>Replied?</t>
        </is>
      </c>
      <c r="Z3" s="10" t="inlineStr">
        <is>
          <t>Call Done?</t>
        </is>
      </c>
      <c r="AA3" s="4" t="inlineStr">
        <is>
          <t>Proposal Sent</t>
        </is>
      </c>
      <c r="AB3" s="3" t="inlineStr">
        <is>
          <t>Package</t>
        </is>
      </c>
      <c r="AC3" s="3" t="inlineStr">
        <is>
          <t>Closure</t>
        </is>
      </c>
      <c r="AD3" s="9" t="inlineStr">
        <is>
          <t>n8n Status</t>
        </is>
      </c>
      <c r="AE3" s="5" t="inlineStr">
        <is>
          <t>Notes</t>
        </is>
      </c>
    </row>
    <row r="4" ht="18" customHeight="1">
      <c r="A4" s="11" t="n">
        <v>1</v>
      </c>
      <c r="B4" s="11" t="inlineStr">
        <is>
          <t>Bright Smile Dental</t>
        </is>
      </c>
      <c r="C4" s="11" t="inlineStr">
        <is>
          <t>Dental</t>
        </is>
      </c>
      <c r="D4" s="11" t="inlineStr">
        <is>
          <t>Dr. Ramesh</t>
        </is>
      </c>
      <c r="E4" s="11" t="inlineStr">
        <is>
          <t>94XXXXXXXX</t>
        </is>
      </c>
      <c r="F4" s="11" t="inlineStr">
        <is>
          <t>94XXXXXXXX</t>
        </is>
      </c>
      <c r="G4" s="11" t="inlineStr">
        <is>
          <t>Anna Nagar</t>
        </is>
      </c>
      <c r="H4" s="11" t="inlineStr">
        <is>
          <t>Pondicherry</t>
        </is>
      </c>
      <c r="I4" s="11" t="inlineStr">
        <is>
          <t>maps.google.com</t>
        </is>
      </c>
      <c r="J4" s="11" t="inlineStr">
        <is>
          <t>Y</t>
        </is>
      </c>
      <c r="K4" s="11" t="n">
        <v>18</v>
      </c>
      <c r="L4" s="11" t="inlineStr">
        <is>
          <t>Inactive</t>
        </is>
      </c>
      <c r="M4" s="11" t="n">
        <v>8</v>
      </c>
      <c r="N4" s="11" t="inlineStr">
        <is>
          <t>N</t>
        </is>
      </c>
      <c r="O4" s="11" t="inlineStr">
        <is>
          <t>Y</t>
        </is>
      </c>
      <c r="P4" s="11" t="n">
        <v>220</v>
      </c>
      <c r="Q4" s="11" t="inlineStr">
        <is>
          <t>3 weeks ago</t>
        </is>
      </c>
      <c r="R4" s="11" t="inlineStr">
        <is>
          <t>N</t>
        </is>
      </c>
      <c r="S4" s="12">
        <f>IF(J4="Y",1,0)+IF(K4&lt;30,3,IF(K4&lt;60,2,IF(K4&lt;100,1,0)))+IF(L4="",2,IF(L4="Active",0,1))+IF(M4&lt;10,2,IF(M4&lt;20,1,0))+IF(N4="N",2,IF(N4="Outdated",1,0))+IF(O4="Y",0,1)+IF(P4&lt;500,2,IF(P4&lt;1000,1,0))+IF(Q4="",1,0)+IF(R4="N",2,0)</f>
        <v/>
      </c>
      <c r="T4" s="13">
        <f>IF(S4&gt;=10,"🔥 HOT",IF(S4&gt;=6,"✅ OPPORTUNITY","⏭️ SKIP"))</f>
        <v/>
      </c>
      <c r="U4" s="11" t="inlineStr"/>
      <c r="V4" s="11" t="inlineStr"/>
      <c r="W4" s="11" t="inlineStr"/>
      <c r="X4" s="11" t="inlineStr"/>
      <c r="Y4" s="11" t="inlineStr">
        <is>
          <t>No</t>
        </is>
      </c>
      <c r="Z4" s="11" t="inlineStr">
        <is>
          <t>No</t>
        </is>
      </c>
      <c r="AA4" s="11" t="inlineStr">
        <is>
          <t>No</t>
        </is>
      </c>
      <c r="AB4" s="11" t="inlineStr"/>
      <c r="AC4" s="11" t="inlineStr">
        <is>
          <t>None</t>
        </is>
      </c>
      <c r="AD4" s="11" t="inlineStr">
        <is>
          <t>SEND</t>
        </is>
      </c>
      <c r="AE4" s="11" t="inlineStr"/>
    </row>
    <row r="5" ht="18" customHeight="1">
      <c r="A5" s="14" t="n">
        <v>2</v>
      </c>
      <c r="B5" s="14" t="inlineStr">
        <is>
          <t>Glowing Skin Clinic</t>
        </is>
      </c>
      <c r="C5" s="14" t="inlineStr">
        <is>
          <t>Dermatology</t>
        </is>
      </c>
      <c r="D5" s="14" t="inlineStr">
        <is>
          <t>Dr. Priya</t>
        </is>
      </c>
      <c r="E5" s="14" t="inlineStr">
        <is>
          <t>98XXXXXXXX</t>
        </is>
      </c>
      <c r="F5" s="14" t="inlineStr">
        <is>
          <t>98XXXXXXXX</t>
        </is>
      </c>
      <c r="G5" s="14" t="inlineStr">
        <is>
          <t>White Town</t>
        </is>
      </c>
      <c r="H5" s="14" t="inlineStr">
        <is>
          <t>Pondicherry</t>
        </is>
      </c>
      <c r="I5" s="14" t="inlineStr"/>
      <c r="J5" s="14" t="inlineStr">
        <is>
          <t>Y</t>
        </is>
      </c>
      <c r="K5" s="14" t="n">
        <v>45</v>
      </c>
      <c r="L5" s="14" t="inlineStr">
        <is>
          <t>Active</t>
        </is>
      </c>
      <c r="M5" s="14" t="n">
        <v>22</v>
      </c>
      <c r="N5" s="14" t="inlineStr">
        <is>
          <t>Y</t>
        </is>
      </c>
      <c r="O5" s="14" t="inlineStr">
        <is>
          <t>Y</t>
        </is>
      </c>
      <c r="P5" s="14" t="n">
        <v>890</v>
      </c>
      <c r="Q5" s="14" t="inlineStr">
        <is>
          <t>1 week ago</t>
        </is>
      </c>
      <c r="R5" s="14" t="inlineStr">
        <is>
          <t>Y</t>
        </is>
      </c>
      <c r="S5" s="12">
        <f>IF(J5="Y",1,0)+IF(K5&lt;30,3,IF(K5&lt;60,2,IF(K5&lt;100,1,0)))+IF(L5="",2,IF(L5="Active",0,1))+IF(M5&lt;10,2,IF(M5&lt;20,1,0))+IF(N5="N",2,IF(N5="Outdated",1,0))+IF(O5="Y",0,1)+IF(P5&lt;500,2,IF(P5&lt;1000,1,0))+IF(Q5="",1,0)+IF(R5="N",2,0)</f>
        <v/>
      </c>
      <c r="T5" s="13">
        <f>IF(S5&gt;=10,"🔥 HOT",IF(S5&gt;=6,"✅ OPPORTUNITY","⏭️ SKIP"))</f>
        <v/>
      </c>
      <c r="U5" s="14" t="inlineStr"/>
      <c r="V5" s="14" t="inlineStr"/>
      <c r="W5" s="14" t="inlineStr"/>
      <c r="X5" s="14" t="inlineStr"/>
      <c r="Y5" s="14" t="inlineStr">
        <is>
          <t>No</t>
        </is>
      </c>
      <c r="Z5" s="14" t="inlineStr">
        <is>
          <t>No</t>
        </is>
      </c>
      <c r="AA5" s="14" t="inlineStr">
        <is>
          <t>No</t>
        </is>
      </c>
      <c r="AB5" s="14" t="inlineStr"/>
      <c r="AC5" s="14" t="inlineStr">
        <is>
          <t>None</t>
        </is>
      </c>
      <c r="AD5" s="14" t="inlineStr">
        <is>
          <t>HOLD</t>
        </is>
      </c>
      <c r="AE5" s="14" t="inlineStr">
        <is>
          <t>Already running ads</t>
        </is>
      </c>
    </row>
    <row r="6" ht="18" customHeight="1">
      <c r="A6" s="11" t="n">
        <v>3</v>
      </c>
      <c r="B6" s="11" t="inlineStr">
        <is>
          <t>PhysioFit Centre</t>
        </is>
      </c>
      <c r="C6" s="11" t="inlineStr">
        <is>
          <t>Physiotherapy</t>
        </is>
      </c>
      <c r="D6" s="11" t="inlineStr">
        <is>
          <t>Dr. Anand</t>
        </is>
      </c>
      <c r="E6" s="11" t="inlineStr">
        <is>
          <t>90XXXXXXXX</t>
        </is>
      </c>
      <c r="F6" s="11" t="inlineStr">
        <is>
          <t>90XXXXXXXX</t>
        </is>
      </c>
      <c r="G6" s="11" t="inlineStr">
        <is>
          <t>Lawspet</t>
        </is>
      </c>
      <c r="H6" s="11" t="inlineStr">
        <is>
          <t>Pondicherry</t>
        </is>
      </c>
      <c r="I6" s="11" t="inlineStr"/>
      <c r="J6" s="11" t="inlineStr">
        <is>
          <t>N</t>
        </is>
      </c>
      <c r="K6" s="11" t="n">
        <v>0</v>
      </c>
      <c r="L6" s="11" t="inlineStr"/>
      <c r="M6" s="11" t="inlineStr">
        <is>
          <t>0</t>
        </is>
      </c>
      <c r="N6" s="11" t="inlineStr">
        <is>
          <t>N</t>
        </is>
      </c>
      <c r="O6" s="11" t="inlineStr">
        <is>
          <t>N</t>
        </is>
      </c>
      <c r="P6" s="11" t="n">
        <v>0</v>
      </c>
      <c r="Q6" s="11" t="inlineStr"/>
      <c r="R6" s="11" t="inlineStr">
        <is>
          <t>N</t>
        </is>
      </c>
      <c r="S6" s="12">
        <f>IF(J6="Y",1,0)+IF(K6&lt;30,3,IF(K6&lt;60,2,IF(K6&lt;100,1,0)))+IF(L6="",2,IF(L6="Active",0,1))+IF(M6&lt;10,2,IF(M6&lt;20,1,0))+IF(N6="N",2,IF(N6="Outdated",1,0))+IF(O6="Y",0,1)+IF(P6&lt;500,2,IF(P6&lt;1000,1,0))+IF(Q6="",1,0)+IF(R6="N",2,0)</f>
        <v/>
      </c>
      <c r="T6" s="13">
        <f>IF(S6&gt;=10,"🔥 HOT",IF(S6&gt;=6,"✅ OPPORTUNITY","⏭️ SKIP"))</f>
        <v/>
      </c>
      <c r="U6" s="11" t="inlineStr"/>
      <c r="V6" s="11" t="inlineStr"/>
      <c r="W6" s="11" t="inlineStr"/>
      <c r="X6" s="11" t="inlineStr"/>
      <c r="Y6" s="11" t="inlineStr">
        <is>
          <t>No</t>
        </is>
      </c>
      <c r="Z6" s="11" t="inlineStr">
        <is>
          <t>No</t>
        </is>
      </c>
      <c r="AA6" s="11" t="inlineStr">
        <is>
          <t>No</t>
        </is>
      </c>
      <c r="AB6" s="11" t="inlineStr"/>
      <c r="AC6" s="11" t="inlineStr">
        <is>
          <t>None</t>
        </is>
      </c>
      <c r="AD6" s="11" t="inlineStr">
        <is>
          <t>SEND</t>
        </is>
      </c>
      <c r="AE6" s="11" t="inlineStr">
        <is>
          <t>No GMB at all</t>
        </is>
      </c>
    </row>
    <row r="7" ht="18" customHeight="1">
      <c r="A7" s="15" t="n">
        <v>4</v>
      </c>
      <c r="B7" s="14" t="inlineStr"/>
      <c r="C7" s="14" t="inlineStr"/>
      <c r="D7" s="14" t="inlineStr"/>
      <c r="E7" s="14" t="inlineStr"/>
      <c r="F7" s="14" t="inlineStr"/>
      <c r="G7" s="14" t="inlineStr"/>
      <c r="H7" s="14" t="inlineStr"/>
      <c r="I7" s="14" t="inlineStr"/>
      <c r="J7" s="14" t="inlineStr"/>
      <c r="K7" s="14" t="inlineStr"/>
      <c r="L7" s="14" t="inlineStr"/>
      <c r="M7" s="14" t="inlineStr"/>
      <c r="N7" s="14" t="inlineStr"/>
      <c r="O7" s="14" t="inlineStr"/>
      <c r="P7" s="14" t="inlineStr"/>
      <c r="Q7" s="14" t="inlineStr"/>
      <c r="R7" s="14" t="inlineStr"/>
      <c r="S7" s="16">
        <f>IF(J7="Y",1,0)+IF(K7&lt;30,3,IF(K7&lt;60,2,IF(K7&lt;100,1,0)))+IF(L7="",2,IF(L7="Active",0,1))+IF(M7&lt;10,2,IF(M7&lt;20,1,0))+IF(N7="N",2,IF(N7="Outdated",1,0))+IF(O7="Y",0,1)+IF(P7&lt;500,2,IF(P7&lt;1000,1,0))+IF(Q7="",1,0)+IF(R7="N",2,0)</f>
        <v/>
      </c>
      <c r="T7" s="13">
        <f>IF(S7&gt;=10,"🔥 HOT",IF(S7&gt;=6,"✅ OPPORTUNITY","⏭️ SKIP"))</f>
        <v/>
      </c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</row>
    <row r="8" ht="18" customHeight="1">
      <c r="A8" s="15" t="n">
        <v>5</v>
      </c>
      <c r="B8" s="11" t="inlineStr"/>
      <c r="C8" s="11" t="inlineStr"/>
      <c r="D8" s="11" t="inlineStr"/>
      <c r="E8" s="11" t="inlineStr"/>
      <c r="F8" s="11" t="inlineStr"/>
      <c r="G8" s="11" t="inlineStr"/>
      <c r="H8" s="11" t="inlineStr"/>
      <c r="I8" s="11" t="inlineStr"/>
      <c r="J8" s="11" t="inlineStr"/>
      <c r="K8" s="11" t="inlineStr"/>
      <c r="L8" s="11" t="inlineStr"/>
      <c r="M8" s="11" t="inlineStr"/>
      <c r="N8" s="11" t="inlineStr"/>
      <c r="O8" s="11" t="inlineStr"/>
      <c r="P8" s="11" t="inlineStr"/>
      <c r="Q8" s="11" t="inlineStr"/>
      <c r="R8" s="11" t="inlineStr"/>
      <c r="S8" s="16">
        <f>IF(J8="Y",1,0)+IF(K8&lt;30,3,IF(K8&lt;60,2,IF(K8&lt;100,1,0)))+IF(L8="",2,IF(L8="Active",0,1))+IF(M8&lt;10,2,IF(M8&lt;20,1,0))+IF(N8="N",2,IF(N8="Outdated",1,0))+IF(O8="Y",0,1)+IF(P8&lt;500,2,IF(P8&lt;1000,1,0))+IF(Q8="",1,0)+IF(R8="N",2,0)</f>
        <v/>
      </c>
      <c r="T8" s="13">
        <f>IF(S8&gt;=10,"🔥 HOT",IF(S8&gt;=6,"✅ OPPORTUNITY","⏭️ SKIP"))</f>
        <v/>
      </c>
      <c r="U8" s="11" t="inlineStr"/>
      <c r="V8" s="11" t="inlineStr"/>
      <c r="W8" s="11" t="inlineStr"/>
      <c r="X8" s="11" t="inlineStr"/>
      <c r="Y8" s="11" t="inlineStr"/>
      <c r="Z8" s="11" t="inlineStr"/>
      <c r="AA8" s="11" t="inlineStr"/>
      <c r="AB8" s="11" t="inlineStr"/>
      <c r="AC8" s="11" t="inlineStr"/>
      <c r="AD8" s="11" t="inlineStr"/>
      <c r="AE8" s="11" t="inlineStr"/>
    </row>
    <row r="9" ht="18" customHeight="1">
      <c r="A9" s="15" t="n">
        <v>6</v>
      </c>
      <c r="B9" s="14" t="inlineStr"/>
      <c r="C9" s="14" t="inlineStr"/>
      <c r="D9" s="14" t="inlineStr"/>
      <c r="E9" s="14" t="inlineStr"/>
      <c r="F9" s="14" t="inlineStr"/>
      <c r="G9" s="14" t="inlineStr"/>
      <c r="H9" s="14" t="inlineStr"/>
      <c r="I9" s="14" t="inlineStr"/>
      <c r="J9" s="14" t="inlineStr"/>
      <c r="K9" s="14" t="inlineStr"/>
      <c r="L9" s="14" t="inlineStr"/>
      <c r="M9" s="14" t="inlineStr"/>
      <c r="N9" s="14" t="inlineStr"/>
      <c r="O9" s="14" t="inlineStr"/>
      <c r="P9" s="14" t="inlineStr"/>
      <c r="Q9" s="14" t="inlineStr"/>
      <c r="R9" s="14" t="inlineStr"/>
      <c r="S9" s="16">
        <f>IF(J9="Y",1,0)+IF(K9&lt;30,3,IF(K9&lt;60,2,IF(K9&lt;100,1,0)))+IF(L9="",2,IF(L9="Active",0,1))+IF(M9&lt;10,2,IF(M9&lt;20,1,0))+IF(N9="N",2,IF(N9="Outdated",1,0))+IF(O9="Y",0,1)+IF(P9&lt;500,2,IF(P9&lt;1000,1,0))+IF(Q9="",1,0)+IF(R9="N",2,0)</f>
        <v/>
      </c>
      <c r="T9" s="13">
        <f>IF(S9&gt;=10,"🔥 HOT",IF(S9&gt;=6,"✅ OPPORTUNITY","⏭️ SKIP"))</f>
        <v/>
      </c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</row>
    <row r="10" ht="18" customHeight="1">
      <c r="A10" s="15" t="n">
        <v>7</v>
      </c>
      <c r="B10" s="11" t="inlineStr"/>
      <c r="C10" s="11" t="inlineStr"/>
      <c r="D10" s="11" t="inlineStr"/>
      <c r="E10" s="11" t="inlineStr"/>
      <c r="F10" s="11" t="inlineStr"/>
      <c r="G10" s="11" t="inlineStr"/>
      <c r="H10" s="11" t="inlineStr"/>
      <c r="I10" s="11" t="inlineStr"/>
      <c r="J10" s="11" t="inlineStr"/>
      <c r="K10" s="11" t="inlineStr"/>
      <c r="L10" s="11" t="inlineStr"/>
      <c r="M10" s="11" t="inlineStr"/>
      <c r="N10" s="11" t="inlineStr"/>
      <c r="O10" s="11" t="inlineStr"/>
      <c r="P10" s="11" t="inlineStr"/>
      <c r="Q10" s="11" t="inlineStr"/>
      <c r="R10" s="11" t="inlineStr"/>
      <c r="S10" s="16">
        <f>IF(J10="Y",1,0)+IF(K10&lt;30,3,IF(K10&lt;60,2,IF(K10&lt;100,1,0)))+IF(L10="",2,IF(L10="Active",0,1))+IF(M10&lt;10,2,IF(M10&lt;20,1,0))+IF(N10="N",2,IF(N10="Outdated",1,0))+IF(O10="Y",0,1)+IF(P10&lt;500,2,IF(P10&lt;1000,1,0))+IF(Q10="",1,0)+IF(R10="N",2,0)</f>
        <v/>
      </c>
      <c r="T10" s="13">
        <f>IF(S10&gt;=10,"🔥 HOT",IF(S10&gt;=6,"✅ OPPORTUNITY","⏭️ SKIP"))</f>
        <v/>
      </c>
      <c r="U10" s="11" t="inlineStr"/>
      <c r="V10" s="11" t="inlineStr"/>
      <c r="W10" s="11" t="inlineStr"/>
      <c r="X10" s="11" t="inlineStr"/>
      <c r="Y10" s="11" t="inlineStr"/>
      <c r="Z10" s="11" t="inlineStr"/>
      <c r="AA10" s="11" t="inlineStr"/>
      <c r="AB10" s="11" t="inlineStr"/>
      <c r="AC10" s="11" t="inlineStr"/>
      <c r="AD10" s="11" t="inlineStr"/>
      <c r="AE10" s="11" t="inlineStr"/>
    </row>
    <row r="11" ht="18" customHeight="1">
      <c r="A11" s="15" t="n">
        <v>8</v>
      </c>
      <c r="B11" s="14" t="inlineStr"/>
      <c r="C11" s="14" t="inlineStr"/>
      <c r="D11" s="14" t="inlineStr"/>
      <c r="E11" s="14" t="inlineStr"/>
      <c r="F11" s="14" t="inlineStr"/>
      <c r="G11" s="14" t="inlineStr"/>
      <c r="H11" s="14" t="inlineStr"/>
      <c r="I11" s="14" t="inlineStr"/>
      <c r="J11" s="14" t="inlineStr"/>
      <c r="K11" s="14" t="inlineStr"/>
      <c r="L11" s="14" t="inlineStr"/>
      <c r="M11" s="14" t="inlineStr"/>
      <c r="N11" s="14" t="inlineStr"/>
      <c r="O11" s="14" t="inlineStr"/>
      <c r="P11" s="14" t="inlineStr"/>
      <c r="Q11" s="14" t="inlineStr"/>
      <c r="R11" s="14" t="inlineStr"/>
      <c r="S11" s="16">
        <f>IF(J11="Y",1,0)+IF(K11&lt;30,3,IF(K11&lt;60,2,IF(K11&lt;100,1,0)))+IF(L11="",2,IF(L11="Active",0,1))+IF(M11&lt;10,2,IF(M11&lt;20,1,0))+IF(N11="N",2,IF(N11="Outdated",1,0))+IF(O11="Y",0,1)+IF(P11&lt;500,2,IF(P11&lt;1000,1,0))+IF(Q11="",1,0)+IF(R11="N",2,0)</f>
        <v/>
      </c>
      <c r="T11" s="13">
        <f>IF(S11&gt;=10,"🔥 HOT",IF(S11&gt;=6,"✅ OPPORTUNITY","⏭️ SKIP"))</f>
        <v/>
      </c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</row>
    <row r="12" ht="18" customHeight="1">
      <c r="A12" s="15" t="n">
        <v>9</v>
      </c>
      <c r="B12" s="11" t="inlineStr"/>
      <c r="C12" s="11" t="inlineStr"/>
      <c r="D12" s="11" t="inlineStr"/>
      <c r="E12" s="11" t="inlineStr"/>
      <c r="F12" s="11" t="inlineStr"/>
      <c r="G12" s="11" t="inlineStr"/>
      <c r="H12" s="11" t="inlineStr"/>
      <c r="I12" s="11" t="inlineStr"/>
      <c r="J12" s="11" t="inlineStr"/>
      <c r="K12" s="11" t="inlineStr"/>
      <c r="L12" s="11" t="inlineStr"/>
      <c r="M12" s="11" t="inlineStr"/>
      <c r="N12" s="11" t="inlineStr"/>
      <c r="O12" s="11" t="inlineStr"/>
      <c r="P12" s="11" t="inlineStr"/>
      <c r="Q12" s="11" t="inlineStr"/>
      <c r="R12" s="11" t="inlineStr"/>
      <c r="S12" s="16">
        <f>IF(J12="Y",1,0)+IF(K12&lt;30,3,IF(K12&lt;60,2,IF(K12&lt;100,1,0)))+IF(L12="",2,IF(L12="Active",0,1))+IF(M12&lt;10,2,IF(M12&lt;20,1,0))+IF(N12="N",2,IF(N12="Outdated",1,0))+IF(O12="Y",0,1)+IF(P12&lt;500,2,IF(P12&lt;1000,1,0))+IF(Q12="",1,0)+IF(R12="N",2,0)</f>
        <v/>
      </c>
      <c r="T12" s="13">
        <f>IF(S12&gt;=10,"🔥 HOT",IF(S12&gt;=6,"✅ OPPORTUNITY","⏭️ SKIP"))</f>
        <v/>
      </c>
      <c r="U12" s="11" t="inlineStr"/>
      <c r="V12" s="11" t="inlineStr"/>
      <c r="W12" s="11" t="inlineStr"/>
      <c r="X12" s="11" t="inlineStr"/>
      <c r="Y12" s="11" t="inlineStr"/>
      <c r="Z12" s="11" t="inlineStr"/>
      <c r="AA12" s="11" t="inlineStr"/>
      <c r="AB12" s="11" t="inlineStr"/>
      <c r="AC12" s="11" t="inlineStr"/>
      <c r="AD12" s="11" t="inlineStr"/>
      <c r="AE12" s="11" t="inlineStr"/>
    </row>
    <row r="13" ht="18" customHeight="1">
      <c r="A13" s="15" t="n">
        <v>10</v>
      </c>
      <c r="B13" s="14" t="inlineStr"/>
      <c r="C13" s="14" t="inlineStr"/>
      <c r="D13" s="14" t="inlineStr"/>
      <c r="E13" s="14" t="inlineStr"/>
      <c r="F13" s="14" t="inlineStr"/>
      <c r="G13" s="14" t="inlineStr"/>
      <c r="H13" s="14" t="inlineStr"/>
      <c r="I13" s="14" t="inlineStr"/>
      <c r="J13" s="14" t="inlineStr"/>
      <c r="K13" s="14" t="inlineStr"/>
      <c r="L13" s="14" t="inlineStr"/>
      <c r="M13" s="14" t="inlineStr"/>
      <c r="N13" s="14" t="inlineStr"/>
      <c r="O13" s="14" t="inlineStr"/>
      <c r="P13" s="14" t="inlineStr"/>
      <c r="Q13" s="14" t="inlineStr"/>
      <c r="R13" s="14" t="inlineStr"/>
      <c r="S13" s="16">
        <f>IF(J13="Y",1,0)+IF(K13&lt;30,3,IF(K13&lt;60,2,IF(K13&lt;100,1,0)))+IF(L13="",2,IF(L13="Active",0,1))+IF(M13&lt;10,2,IF(M13&lt;20,1,0))+IF(N13="N",2,IF(N13="Outdated",1,0))+IF(O13="Y",0,1)+IF(P13&lt;500,2,IF(P13&lt;1000,1,0))+IF(Q13="",1,0)+IF(R13="N",2,0)</f>
        <v/>
      </c>
      <c r="T13" s="13">
        <f>IF(S13&gt;=10,"🔥 HOT",IF(S13&gt;=6,"✅ OPPORTUNITY","⏭️ SKIP"))</f>
        <v/>
      </c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</row>
    <row r="14" ht="18" customHeight="1">
      <c r="A14" s="15" t="n">
        <v>11</v>
      </c>
      <c r="B14" s="11" t="inlineStr"/>
      <c r="C14" s="11" t="inlineStr"/>
      <c r="D14" s="11" t="inlineStr"/>
      <c r="E14" s="11" t="inlineStr"/>
      <c r="F14" s="11" t="inlineStr"/>
      <c r="G14" s="11" t="inlineStr"/>
      <c r="H14" s="11" t="inlineStr"/>
      <c r="I14" s="11" t="inlineStr"/>
      <c r="J14" s="11" t="inlineStr"/>
      <c r="K14" s="11" t="inlineStr"/>
      <c r="L14" s="11" t="inlineStr"/>
      <c r="M14" s="11" t="inlineStr"/>
      <c r="N14" s="11" t="inlineStr"/>
      <c r="O14" s="11" t="inlineStr"/>
      <c r="P14" s="11" t="inlineStr"/>
      <c r="Q14" s="11" t="inlineStr"/>
      <c r="R14" s="11" t="inlineStr"/>
      <c r="S14" s="16">
        <f>IF(J14="Y",1,0)+IF(K14&lt;30,3,IF(K14&lt;60,2,IF(K14&lt;100,1,0)))+IF(L14="",2,IF(L14="Active",0,1))+IF(M14&lt;10,2,IF(M14&lt;20,1,0))+IF(N14="N",2,IF(N14="Outdated",1,0))+IF(O14="Y",0,1)+IF(P14&lt;500,2,IF(P14&lt;1000,1,0))+IF(Q14="",1,0)+IF(R14="N",2,0)</f>
        <v/>
      </c>
      <c r="T14" s="13">
        <f>IF(S14&gt;=10,"🔥 HOT",IF(S14&gt;=6,"✅ OPPORTUNITY","⏭️ SKIP"))</f>
        <v/>
      </c>
      <c r="U14" s="11" t="inlineStr"/>
      <c r="V14" s="11" t="inlineStr"/>
      <c r="W14" s="11" t="inlineStr"/>
      <c r="X14" s="11" t="inlineStr"/>
      <c r="Y14" s="11" t="inlineStr"/>
      <c r="Z14" s="11" t="inlineStr"/>
      <c r="AA14" s="11" t="inlineStr"/>
      <c r="AB14" s="11" t="inlineStr"/>
      <c r="AC14" s="11" t="inlineStr"/>
      <c r="AD14" s="11" t="inlineStr"/>
      <c r="AE14" s="11" t="inlineStr"/>
    </row>
    <row r="15" ht="18" customHeight="1">
      <c r="A15" s="15" t="n">
        <v>12</v>
      </c>
      <c r="B15" s="14" t="inlineStr"/>
      <c r="C15" s="14" t="inlineStr"/>
      <c r="D15" s="14" t="inlineStr"/>
      <c r="E15" s="14" t="inlineStr"/>
      <c r="F15" s="14" t="inlineStr"/>
      <c r="G15" s="14" t="inlineStr"/>
      <c r="H15" s="14" t="inlineStr"/>
      <c r="I15" s="14" t="inlineStr"/>
      <c r="J15" s="14" t="inlineStr"/>
      <c r="K15" s="14" t="inlineStr"/>
      <c r="L15" s="14" t="inlineStr"/>
      <c r="M15" s="14" t="inlineStr"/>
      <c r="N15" s="14" t="inlineStr"/>
      <c r="O15" s="14" t="inlineStr"/>
      <c r="P15" s="14" t="inlineStr"/>
      <c r="Q15" s="14" t="inlineStr"/>
      <c r="R15" s="14" t="inlineStr"/>
      <c r="S15" s="16">
        <f>IF(J15="Y",1,0)+IF(K15&lt;30,3,IF(K15&lt;60,2,IF(K15&lt;100,1,0)))+IF(L15="",2,IF(L15="Active",0,1))+IF(M15&lt;10,2,IF(M15&lt;20,1,0))+IF(N15="N",2,IF(N15="Outdated",1,0))+IF(O15="Y",0,1)+IF(P15&lt;500,2,IF(P15&lt;1000,1,0))+IF(Q15="",1,0)+IF(R15="N",2,0)</f>
        <v/>
      </c>
      <c r="T15" s="13">
        <f>IF(S15&gt;=10,"🔥 HOT",IF(S15&gt;=6,"✅ OPPORTUNITY","⏭️ SKIP"))</f>
        <v/>
      </c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</row>
    <row r="16" ht="18" customHeight="1">
      <c r="A16" s="15" t="n">
        <v>13</v>
      </c>
      <c r="B16" s="11" t="inlineStr"/>
      <c r="C16" s="11" t="inlineStr"/>
      <c r="D16" s="11" t="inlineStr"/>
      <c r="E16" s="11" t="inlineStr"/>
      <c r="F16" s="11" t="inlineStr"/>
      <c r="G16" s="11" t="inlineStr"/>
      <c r="H16" s="11" t="inlineStr"/>
      <c r="I16" s="11" t="inlineStr"/>
      <c r="J16" s="11" t="inlineStr"/>
      <c r="K16" s="11" t="inlineStr"/>
      <c r="L16" s="11" t="inlineStr"/>
      <c r="M16" s="11" t="inlineStr"/>
      <c r="N16" s="11" t="inlineStr"/>
      <c r="O16" s="11" t="inlineStr"/>
      <c r="P16" s="11" t="inlineStr"/>
      <c r="Q16" s="11" t="inlineStr"/>
      <c r="R16" s="11" t="inlineStr"/>
      <c r="S16" s="16">
        <f>IF(J16="Y",1,0)+IF(K16&lt;30,3,IF(K16&lt;60,2,IF(K16&lt;100,1,0)))+IF(L16="",2,IF(L16="Active",0,1))+IF(M16&lt;10,2,IF(M16&lt;20,1,0))+IF(N16="N",2,IF(N16="Outdated",1,0))+IF(O16="Y",0,1)+IF(P16&lt;500,2,IF(P16&lt;1000,1,0))+IF(Q16="",1,0)+IF(R16="N",2,0)</f>
        <v/>
      </c>
      <c r="T16" s="13">
        <f>IF(S16&gt;=10,"🔥 HOT",IF(S16&gt;=6,"✅ OPPORTUNITY","⏭️ SKIP"))</f>
        <v/>
      </c>
      <c r="U16" s="11" t="inlineStr"/>
      <c r="V16" s="11" t="inlineStr"/>
      <c r="W16" s="11" t="inlineStr"/>
      <c r="X16" s="11" t="inlineStr"/>
      <c r="Y16" s="11" t="inlineStr"/>
      <c r="Z16" s="11" t="inlineStr"/>
      <c r="AA16" s="11" t="inlineStr"/>
      <c r="AB16" s="11" t="inlineStr"/>
      <c r="AC16" s="11" t="inlineStr"/>
      <c r="AD16" s="11" t="inlineStr"/>
      <c r="AE16" s="11" t="inlineStr"/>
    </row>
    <row r="17" ht="18" customHeight="1">
      <c r="A17" s="15" t="n">
        <v>14</v>
      </c>
      <c r="B17" s="14" t="inlineStr"/>
      <c r="C17" s="14" t="inlineStr"/>
      <c r="D17" s="14" t="inlineStr"/>
      <c r="E17" s="14" t="inlineStr"/>
      <c r="F17" s="14" t="inlineStr"/>
      <c r="G17" s="14" t="inlineStr"/>
      <c r="H17" s="14" t="inlineStr"/>
      <c r="I17" s="14" t="inlineStr"/>
      <c r="J17" s="14" t="inlineStr"/>
      <c r="K17" s="14" t="inlineStr"/>
      <c r="L17" s="14" t="inlineStr"/>
      <c r="M17" s="14" t="inlineStr"/>
      <c r="N17" s="14" t="inlineStr"/>
      <c r="O17" s="14" t="inlineStr"/>
      <c r="P17" s="14" t="inlineStr"/>
      <c r="Q17" s="14" t="inlineStr"/>
      <c r="R17" s="14" t="inlineStr"/>
      <c r="S17" s="16">
        <f>IF(J17="Y",1,0)+IF(K17&lt;30,3,IF(K17&lt;60,2,IF(K17&lt;100,1,0)))+IF(L17="",2,IF(L17="Active",0,1))+IF(M17&lt;10,2,IF(M17&lt;20,1,0))+IF(N17="N",2,IF(N17="Outdated",1,0))+IF(O17="Y",0,1)+IF(P17&lt;500,2,IF(P17&lt;1000,1,0))+IF(Q17="",1,0)+IF(R17="N",2,0)</f>
        <v/>
      </c>
      <c r="T17" s="13">
        <f>IF(S17&gt;=10,"🔥 HOT",IF(S17&gt;=6,"✅ OPPORTUNITY","⏭️ SKIP"))</f>
        <v/>
      </c>
      <c r="U17" s="14" t="inlineStr"/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</row>
    <row r="18" ht="18" customHeight="1">
      <c r="A18" s="15" t="n">
        <v>15</v>
      </c>
      <c r="B18" s="11" t="inlineStr"/>
      <c r="C18" s="11" t="inlineStr"/>
      <c r="D18" s="11" t="inlineStr"/>
      <c r="E18" s="11" t="inlineStr"/>
      <c r="F18" s="11" t="inlineStr"/>
      <c r="G18" s="11" t="inlineStr"/>
      <c r="H18" s="11" t="inlineStr"/>
      <c r="I18" s="11" t="inlineStr"/>
      <c r="J18" s="11" t="inlineStr"/>
      <c r="K18" s="11" t="inlineStr"/>
      <c r="L18" s="11" t="inlineStr"/>
      <c r="M18" s="11" t="inlineStr"/>
      <c r="N18" s="11" t="inlineStr"/>
      <c r="O18" s="11" t="inlineStr"/>
      <c r="P18" s="11" t="inlineStr"/>
      <c r="Q18" s="11" t="inlineStr"/>
      <c r="R18" s="11" t="inlineStr"/>
      <c r="S18" s="16">
        <f>IF(J18="Y",1,0)+IF(K18&lt;30,3,IF(K18&lt;60,2,IF(K18&lt;100,1,0)))+IF(L18="",2,IF(L18="Active",0,1))+IF(M18&lt;10,2,IF(M18&lt;20,1,0))+IF(N18="N",2,IF(N18="Outdated",1,0))+IF(O18="Y",0,1)+IF(P18&lt;500,2,IF(P18&lt;1000,1,0))+IF(Q18="",1,0)+IF(R18="N",2,0)</f>
        <v/>
      </c>
      <c r="T18" s="13">
        <f>IF(S18&gt;=10,"🔥 HOT",IF(S18&gt;=6,"✅ OPPORTUNITY","⏭️ SKIP"))</f>
        <v/>
      </c>
      <c r="U18" s="11" t="inlineStr"/>
      <c r="V18" s="11" t="inlineStr"/>
      <c r="W18" s="11" t="inlineStr"/>
      <c r="X18" s="11" t="inlineStr"/>
      <c r="Y18" s="11" t="inlineStr"/>
      <c r="Z18" s="11" t="inlineStr"/>
      <c r="AA18" s="11" t="inlineStr"/>
      <c r="AB18" s="11" t="inlineStr"/>
      <c r="AC18" s="11" t="inlineStr"/>
      <c r="AD18" s="11" t="inlineStr"/>
      <c r="AE18" s="11" t="inlineStr"/>
    </row>
    <row r="19" ht="18" customHeight="1">
      <c r="A19" s="15" t="n">
        <v>16</v>
      </c>
      <c r="B19" s="14" t="inlineStr"/>
      <c r="C19" s="14" t="inlineStr"/>
      <c r="D19" s="14" t="inlineStr"/>
      <c r="E19" s="14" t="inlineStr"/>
      <c r="F19" s="14" t="inlineStr"/>
      <c r="G19" s="14" t="inlineStr"/>
      <c r="H19" s="14" t="inlineStr"/>
      <c r="I19" s="14" t="inlineStr"/>
      <c r="J19" s="14" t="inlineStr"/>
      <c r="K19" s="14" t="inlineStr"/>
      <c r="L19" s="14" t="inlineStr"/>
      <c r="M19" s="14" t="inlineStr"/>
      <c r="N19" s="14" t="inlineStr"/>
      <c r="O19" s="14" t="inlineStr"/>
      <c r="P19" s="14" t="inlineStr"/>
      <c r="Q19" s="14" t="inlineStr"/>
      <c r="R19" s="14" t="inlineStr"/>
      <c r="S19" s="16">
        <f>IF(J19="Y",1,0)+IF(K19&lt;30,3,IF(K19&lt;60,2,IF(K19&lt;100,1,0)))+IF(L19="",2,IF(L19="Active",0,1))+IF(M19&lt;10,2,IF(M19&lt;20,1,0))+IF(N19="N",2,IF(N19="Outdated",1,0))+IF(O19="Y",0,1)+IF(P19&lt;500,2,IF(P19&lt;1000,1,0))+IF(Q19="",1,0)+IF(R19="N",2,0)</f>
        <v/>
      </c>
      <c r="T19" s="13">
        <f>IF(S19&gt;=10,"🔥 HOT",IF(S19&gt;=6,"✅ OPPORTUNITY","⏭️ SKIP"))</f>
        <v/>
      </c>
      <c r="U19" s="14" t="inlineStr"/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</row>
    <row r="20" ht="18" customHeight="1">
      <c r="A20" s="15" t="n">
        <v>17</v>
      </c>
      <c r="B20" s="11" t="inlineStr"/>
      <c r="C20" s="11" t="inlineStr"/>
      <c r="D20" s="11" t="inlineStr"/>
      <c r="E20" s="11" t="inlineStr"/>
      <c r="F20" s="11" t="inlineStr"/>
      <c r="G20" s="11" t="inlineStr"/>
      <c r="H20" s="11" t="inlineStr"/>
      <c r="I20" s="11" t="inlineStr"/>
      <c r="J20" s="11" t="inlineStr"/>
      <c r="K20" s="11" t="inlineStr"/>
      <c r="L20" s="11" t="inlineStr"/>
      <c r="M20" s="11" t="inlineStr"/>
      <c r="N20" s="11" t="inlineStr"/>
      <c r="O20" s="11" t="inlineStr"/>
      <c r="P20" s="11" t="inlineStr"/>
      <c r="Q20" s="11" t="inlineStr"/>
      <c r="R20" s="11" t="inlineStr"/>
      <c r="S20" s="16">
        <f>IF(J20="Y",1,0)+IF(K20&lt;30,3,IF(K20&lt;60,2,IF(K20&lt;100,1,0)))+IF(L20="",2,IF(L20="Active",0,1))+IF(M20&lt;10,2,IF(M20&lt;20,1,0))+IF(N20="N",2,IF(N20="Outdated",1,0))+IF(O20="Y",0,1)+IF(P20&lt;500,2,IF(P20&lt;1000,1,0))+IF(Q20="",1,0)+IF(R20="N",2,0)</f>
        <v/>
      </c>
      <c r="T20" s="13">
        <f>IF(S20&gt;=10,"🔥 HOT",IF(S20&gt;=6,"✅ OPPORTUNITY","⏭️ SKIP"))</f>
        <v/>
      </c>
      <c r="U20" s="11" t="inlineStr"/>
      <c r="V20" s="11" t="inlineStr"/>
      <c r="W20" s="11" t="inlineStr"/>
      <c r="X20" s="11" t="inlineStr"/>
      <c r="Y20" s="11" t="inlineStr"/>
      <c r="Z20" s="11" t="inlineStr"/>
      <c r="AA20" s="11" t="inlineStr"/>
      <c r="AB20" s="11" t="inlineStr"/>
      <c r="AC20" s="11" t="inlineStr"/>
      <c r="AD20" s="11" t="inlineStr"/>
      <c r="AE20" s="11" t="inlineStr"/>
    </row>
    <row r="21" ht="18" customHeight="1">
      <c r="A21" s="15" t="n">
        <v>18</v>
      </c>
      <c r="B21" s="14" t="inlineStr"/>
      <c r="C21" s="14" t="inlineStr"/>
      <c r="D21" s="14" t="inlineStr"/>
      <c r="E21" s="14" t="inlineStr"/>
      <c r="F21" s="14" t="inlineStr"/>
      <c r="G21" s="14" t="inlineStr"/>
      <c r="H21" s="14" t="inlineStr"/>
      <c r="I21" s="14" t="inlineStr"/>
      <c r="J21" s="14" t="inlineStr"/>
      <c r="K21" s="14" t="inlineStr"/>
      <c r="L21" s="14" t="inlineStr"/>
      <c r="M21" s="14" t="inlineStr"/>
      <c r="N21" s="14" t="inlineStr"/>
      <c r="O21" s="14" t="inlineStr"/>
      <c r="P21" s="14" t="inlineStr"/>
      <c r="Q21" s="14" t="inlineStr"/>
      <c r="R21" s="14" t="inlineStr"/>
      <c r="S21" s="16">
        <f>IF(J21="Y",1,0)+IF(K21&lt;30,3,IF(K21&lt;60,2,IF(K21&lt;100,1,0)))+IF(L21="",2,IF(L21="Active",0,1))+IF(M21&lt;10,2,IF(M21&lt;20,1,0))+IF(N21="N",2,IF(N21="Outdated",1,0))+IF(O21="Y",0,1)+IF(P21&lt;500,2,IF(P21&lt;1000,1,0))+IF(Q21="",1,0)+IF(R21="N",2,0)</f>
        <v/>
      </c>
      <c r="T21" s="13">
        <f>IF(S21&gt;=10,"🔥 HOT",IF(S21&gt;=6,"✅ OPPORTUNITY","⏭️ SKIP"))</f>
        <v/>
      </c>
      <c r="U21" s="14" t="inlineStr"/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</row>
    <row r="22" ht="18" customHeight="1">
      <c r="A22" s="15" t="n">
        <v>19</v>
      </c>
      <c r="B22" s="11" t="inlineStr"/>
      <c r="C22" s="11" t="inlineStr"/>
      <c r="D22" s="11" t="inlineStr"/>
      <c r="E22" s="11" t="inlineStr"/>
      <c r="F22" s="11" t="inlineStr"/>
      <c r="G22" s="11" t="inlineStr"/>
      <c r="H22" s="11" t="inlineStr"/>
      <c r="I22" s="11" t="inlineStr"/>
      <c r="J22" s="11" t="inlineStr"/>
      <c r="K22" s="11" t="inlineStr"/>
      <c r="L22" s="11" t="inlineStr"/>
      <c r="M22" s="11" t="inlineStr"/>
      <c r="N22" s="11" t="inlineStr"/>
      <c r="O22" s="11" t="inlineStr"/>
      <c r="P22" s="11" t="inlineStr"/>
      <c r="Q22" s="11" t="inlineStr"/>
      <c r="R22" s="11" t="inlineStr"/>
      <c r="S22" s="16">
        <f>IF(J22="Y",1,0)+IF(K22&lt;30,3,IF(K22&lt;60,2,IF(K22&lt;100,1,0)))+IF(L22="",2,IF(L22="Active",0,1))+IF(M22&lt;10,2,IF(M22&lt;20,1,0))+IF(N22="N",2,IF(N22="Outdated",1,0))+IF(O22="Y",0,1)+IF(P22&lt;500,2,IF(P22&lt;1000,1,0))+IF(Q22="",1,0)+IF(R22="N",2,0)</f>
        <v/>
      </c>
      <c r="T22" s="13">
        <f>IF(S22&gt;=10,"🔥 HOT",IF(S22&gt;=6,"✅ OPPORTUNITY","⏭️ SKIP"))</f>
        <v/>
      </c>
      <c r="U22" s="11" t="inlineStr"/>
      <c r="V22" s="11" t="inlineStr"/>
      <c r="W22" s="11" t="inlineStr"/>
      <c r="X22" s="11" t="inlineStr"/>
      <c r="Y22" s="11" t="inlineStr"/>
      <c r="Z22" s="11" t="inlineStr"/>
      <c r="AA22" s="11" t="inlineStr"/>
      <c r="AB22" s="11" t="inlineStr"/>
      <c r="AC22" s="11" t="inlineStr"/>
      <c r="AD22" s="11" t="inlineStr"/>
      <c r="AE22" s="11" t="inlineStr"/>
    </row>
    <row r="23" ht="18" customHeight="1">
      <c r="A23" s="15" t="n">
        <v>20</v>
      </c>
      <c r="B23" s="14" t="inlineStr"/>
      <c r="C23" s="14" t="inlineStr"/>
      <c r="D23" s="14" t="inlineStr"/>
      <c r="E23" s="14" t="inlineStr"/>
      <c r="F23" s="14" t="inlineStr"/>
      <c r="G23" s="14" t="inlineStr"/>
      <c r="H23" s="14" t="inlineStr"/>
      <c r="I23" s="14" t="inlineStr"/>
      <c r="J23" s="14" t="inlineStr"/>
      <c r="K23" s="14" t="inlineStr"/>
      <c r="L23" s="14" t="inlineStr"/>
      <c r="M23" s="14" t="inlineStr"/>
      <c r="N23" s="14" t="inlineStr"/>
      <c r="O23" s="14" t="inlineStr"/>
      <c r="P23" s="14" t="inlineStr"/>
      <c r="Q23" s="14" t="inlineStr"/>
      <c r="R23" s="14" t="inlineStr"/>
      <c r="S23" s="16">
        <f>IF(J23="Y",1,0)+IF(K23&lt;30,3,IF(K23&lt;60,2,IF(K23&lt;100,1,0)))+IF(L23="",2,IF(L23="Active",0,1))+IF(M23&lt;10,2,IF(M23&lt;20,1,0))+IF(N23="N",2,IF(N23="Outdated",1,0))+IF(O23="Y",0,1)+IF(P23&lt;500,2,IF(P23&lt;1000,1,0))+IF(Q23="",1,0)+IF(R23="N",2,0)</f>
        <v/>
      </c>
      <c r="T23" s="13">
        <f>IF(S23&gt;=10,"🔥 HOT",IF(S23&gt;=6,"✅ OPPORTUNITY","⏭️ SKIP"))</f>
        <v/>
      </c>
      <c r="U23" s="14" t="inlineStr"/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</row>
    <row r="24" ht="18" customHeight="1">
      <c r="A24" s="15" t="n">
        <v>21</v>
      </c>
      <c r="B24" s="11" t="inlineStr"/>
      <c r="C24" s="11" t="inlineStr"/>
      <c r="D24" s="11" t="inlineStr"/>
      <c r="E24" s="11" t="inlineStr"/>
      <c r="F24" s="11" t="inlineStr"/>
      <c r="G24" s="11" t="inlineStr"/>
      <c r="H24" s="11" t="inlineStr"/>
      <c r="I24" s="11" t="inlineStr"/>
      <c r="J24" s="11" t="inlineStr"/>
      <c r="K24" s="11" t="inlineStr"/>
      <c r="L24" s="11" t="inlineStr"/>
      <c r="M24" s="11" t="inlineStr"/>
      <c r="N24" s="11" t="inlineStr"/>
      <c r="O24" s="11" t="inlineStr"/>
      <c r="P24" s="11" t="inlineStr"/>
      <c r="Q24" s="11" t="inlineStr"/>
      <c r="R24" s="11" t="inlineStr"/>
      <c r="S24" s="16">
        <f>IF(J24="Y",1,0)+IF(K24&lt;30,3,IF(K24&lt;60,2,IF(K24&lt;100,1,0)))+IF(L24="",2,IF(L24="Active",0,1))+IF(M24&lt;10,2,IF(M24&lt;20,1,0))+IF(N24="N",2,IF(N24="Outdated",1,0))+IF(O24="Y",0,1)+IF(P24&lt;500,2,IF(P24&lt;1000,1,0))+IF(Q24="",1,0)+IF(R24="N",2,0)</f>
        <v/>
      </c>
      <c r="T24" s="13">
        <f>IF(S24&gt;=10,"🔥 HOT",IF(S24&gt;=6,"✅ OPPORTUNITY","⏭️ SKIP"))</f>
        <v/>
      </c>
      <c r="U24" s="11" t="inlineStr"/>
      <c r="V24" s="11" t="inlineStr"/>
      <c r="W24" s="11" t="inlineStr"/>
      <c r="X24" s="11" t="inlineStr"/>
      <c r="Y24" s="11" t="inlineStr"/>
      <c r="Z24" s="11" t="inlineStr"/>
      <c r="AA24" s="11" t="inlineStr"/>
      <c r="AB24" s="11" t="inlineStr"/>
      <c r="AC24" s="11" t="inlineStr"/>
      <c r="AD24" s="11" t="inlineStr"/>
      <c r="AE24" s="11" t="inlineStr"/>
    </row>
    <row r="25" ht="18" customHeight="1">
      <c r="A25" s="15" t="n">
        <v>22</v>
      </c>
      <c r="B25" s="14" t="inlineStr"/>
      <c r="C25" s="14" t="inlineStr"/>
      <c r="D25" s="14" t="inlineStr"/>
      <c r="E25" s="14" t="inlineStr"/>
      <c r="F25" s="14" t="inlineStr"/>
      <c r="G25" s="14" t="inlineStr"/>
      <c r="H25" s="14" t="inlineStr"/>
      <c r="I25" s="14" t="inlineStr"/>
      <c r="J25" s="14" t="inlineStr"/>
      <c r="K25" s="14" t="inlineStr"/>
      <c r="L25" s="14" t="inlineStr"/>
      <c r="M25" s="14" t="inlineStr"/>
      <c r="N25" s="14" t="inlineStr"/>
      <c r="O25" s="14" t="inlineStr"/>
      <c r="P25" s="14" t="inlineStr"/>
      <c r="Q25" s="14" t="inlineStr"/>
      <c r="R25" s="14" t="inlineStr"/>
      <c r="S25" s="16">
        <f>IF(J25="Y",1,0)+IF(K25&lt;30,3,IF(K25&lt;60,2,IF(K25&lt;100,1,0)))+IF(L25="",2,IF(L25="Active",0,1))+IF(M25&lt;10,2,IF(M25&lt;20,1,0))+IF(N25="N",2,IF(N25="Outdated",1,0))+IF(O25="Y",0,1)+IF(P25&lt;500,2,IF(P25&lt;1000,1,0))+IF(Q25="",1,0)+IF(R25="N",2,0)</f>
        <v/>
      </c>
      <c r="T25" s="13">
        <f>IF(S25&gt;=10,"🔥 HOT",IF(S25&gt;=6,"✅ OPPORTUNITY","⏭️ SKIP"))</f>
        <v/>
      </c>
      <c r="U25" s="14" t="inlineStr"/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</row>
    <row r="26" ht="18" customHeight="1">
      <c r="A26" s="15" t="n">
        <v>23</v>
      </c>
      <c r="B26" s="11" t="inlineStr"/>
      <c r="C26" s="11" t="inlineStr"/>
      <c r="D26" s="11" t="inlineStr"/>
      <c r="E26" s="11" t="inlineStr"/>
      <c r="F26" s="11" t="inlineStr"/>
      <c r="G26" s="11" t="inlineStr"/>
      <c r="H26" s="11" t="inlineStr"/>
      <c r="I26" s="11" t="inlineStr"/>
      <c r="J26" s="11" t="inlineStr"/>
      <c r="K26" s="11" t="inlineStr"/>
      <c r="L26" s="11" t="inlineStr"/>
      <c r="M26" s="11" t="inlineStr"/>
      <c r="N26" s="11" t="inlineStr"/>
      <c r="O26" s="11" t="inlineStr"/>
      <c r="P26" s="11" t="inlineStr"/>
      <c r="Q26" s="11" t="inlineStr"/>
      <c r="R26" s="11" t="inlineStr"/>
      <c r="S26" s="16">
        <f>IF(J26="Y",1,0)+IF(K26&lt;30,3,IF(K26&lt;60,2,IF(K26&lt;100,1,0)))+IF(L26="",2,IF(L26="Active",0,1))+IF(M26&lt;10,2,IF(M26&lt;20,1,0))+IF(N26="N",2,IF(N26="Outdated",1,0))+IF(O26="Y",0,1)+IF(P26&lt;500,2,IF(P26&lt;1000,1,0))+IF(Q26="",1,0)+IF(R26="N",2,0)</f>
        <v/>
      </c>
      <c r="T26" s="13">
        <f>IF(S26&gt;=10,"🔥 HOT",IF(S26&gt;=6,"✅ OPPORTUNITY","⏭️ SKIP"))</f>
        <v/>
      </c>
      <c r="U26" s="11" t="inlineStr"/>
      <c r="V26" s="11" t="inlineStr"/>
      <c r="W26" s="11" t="inlineStr"/>
      <c r="X26" s="11" t="inlineStr"/>
      <c r="Y26" s="11" t="inlineStr"/>
      <c r="Z26" s="11" t="inlineStr"/>
      <c r="AA26" s="11" t="inlineStr"/>
      <c r="AB26" s="11" t="inlineStr"/>
      <c r="AC26" s="11" t="inlineStr"/>
      <c r="AD26" s="11" t="inlineStr"/>
      <c r="AE26" s="11" t="inlineStr"/>
    </row>
    <row r="27" ht="18" customHeight="1">
      <c r="A27" s="15" t="n">
        <v>24</v>
      </c>
      <c r="B27" s="14" t="inlineStr"/>
      <c r="C27" s="14" t="inlineStr"/>
      <c r="D27" s="14" t="inlineStr"/>
      <c r="E27" s="14" t="inlineStr"/>
      <c r="F27" s="14" t="inlineStr"/>
      <c r="G27" s="14" t="inlineStr"/>
      <c r="H27" s="14" t="inlineStr"/>
      <c r="I27" s="14" t="inlineStr"/>
      <c r="J27" s="14" t="inlineStr"/>
      <c r="K27" s="14" t="inlineStr"/>
      <c r="L27" s="14" t="inlineStr"/>
      <c r="M27" s="14" t="inlineStr"/>
      <c r="N27" s="14" t="inlineStr"/>
      <c r="O27" s="14" t="inlineStr"/>
      <c r="P27" s="14" t="inlineStr"/>
      <c r="Q27" s="14" t="inlineStr"/>
      <c r="R27" s="14" t="inlineStr"/>
      <c r="S27" s="16">
        <f>IF(J27="Y",1,0)+IF(K27&lt;30,3,IF(K27&lt;60,2,IF(K27&lt;100,1,0)))+IF(L27="",2,IF(L27="Active",0,1))+IF(M27&lt;10,2,IF(M27&lt;20,1,0))+IF(N27="N",2,IF(N27="Outdated",1,0))+IF(O27="Y",0,1)+IF(P27&lt;500,2,IF(P27&lt;1000,1,0))+IF(Q27="",1,0)+IF(R27="N",2,0)</f>
        <v/>
      </c>
      <c r="T27" s="13">
        <f>IF(S27&gt;=10,"🔥 HOT",IF(S27&gt;=6,"✅ OPPORTUNITY","⏭️ SKIP"))</f>
        <v/>
      </c>
      <c r="U27" s="14" t="inlineStr"/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</row>
    <row r="28" ht="18" customHeight="1">
      <c r="A28" s="15" t="n">
        <v>25</v>
      </c>
      <c r="B28" s="11" t="inlineStr"/>
      <c r="C28" s="11" t="inlineStr"/>
      <c r="D28" s="11" t="inlineStr"/>
      <c r="E28" s="11" t="inlineStr"/>
      <c r="F28" s="11" t="inlineStr"/>
      <c r="G28" s="11" t="inlineStr"/>
      <c r="H28" s="11" t="inlineStr"/>
      <c r="I28" s="11" t="inlineStr"/>
      <c r="J28" s="11" t="inlineStr"/>
      <c r="K28" s="11" t="inlineStr"/>
      <c r="L28" s="11" t="inlineStr"/>
      <c r="M28" s="11" t="inlineStr"/>
      <c r="N28" s="11" t="inlineStr"/>
      <c r="O28" s="11" t="inlineStr"/>
      <c r="P28" s="11" t="inlineStr"/>
      <c r="Q28" s="11" t="inlineStr"/>
      <c r="R28" s="11" t="inlineStr"/>
      <c r="S28" s="16">
        <f>IF(J28="Y",1,0)+IF(K28&lt;30,3,IF(K28&lt;60,2,IF(K28&lt;100,1,0)))+IF(L28="",2,IF(L28="Active",0,1))+IF(M28&lt;10,2,IF(M28&lt;20,1,0))+IF(N28="N",2,IF(N28="Outdated",1,0))+IF(O28="Y",0,1)+IF(P28&lt;500,2,IF(P28&lt;1000,1,0))+IF(Q28="",1,0)+IF(R28="N",2,0)</f>
        <v/>
      </c>
      <c r="T28" s="13">
        <f>IF(S28&gt;=10,"🔥 HOT",IF(S28&gt;=6,"✅ OPPORTUNITY","⏭️ SKIP"))</f>
        <v/>
      </c>
      <c r="U28" s="11" t="inlineStr"/>
      <c r="V28" s="11" t="inlineStr"/>
      <c r="W28" s="11" t="inlineStr"/>
      <c r="X28" s="11" t="inlineStr"/>
      <c r="Y28" s="11" t="inlineStr"/>
      <c r="Z28" s="11" t="inlineStr"/>
      <c r="AA28" s="11" t="inlineStr"/>
      <c r="AB28" s="11" t="inlineStr"/>
      <c r="AC28" s="11" t="inlineStr"/>
      <c r="AD28" s="11" t="inlineStr"/>
      <c r="AE28" s="11" t="inlineStr"/>
    </row>
    <row r="29" ht="18" customHeight="1">
      <c r="A29" s="15" t="n">
        <v>26</v>
      </c>
      <c r="B29" s="14" t="inlineStr"/>
      <c r="C29" s="14" t="inlineStr"/>
      <c r="D29" s="14" t="inlineStr"/>
      <c r="E29" s="14" t="inlineStr"/>
      <c r="F29" s="14" t="inlineStr"/>
      <c r="G29" s="14" t="inlineStr"/>
      <c r="H29" s="14" t="inlineStr"/>
      <c r="I29" s="14" t="inlineStr"/>
      <c r="J29" s="14" t="inlineStr"/>
      <c r="K29" s="14" t="inlineStr"/>
      <c r="L29" s="14" t="inlineStr"/>
      <c r="M29" s="14" t="inlineStr"/>
      <c r="N29" s="14" t="inlineStr"/>
      <c r="O29" s="14" t="inlineStr"/>
      <c r="P29" s="14" t="inlineStr"/>
      <c r="Q29" s="14" t="inlineStr"/>
      <c r="R29" s="14" t="inlineStr"/>
      <c r="S29" s="16">
        <f>IF(J29="Y",1,0)+IF(K29&lt;30,3,IF(K29&lt;60,2,IF(K29&lt;100,1,0)))+IF(L29="",2,IF(L29="Active",0,1))+IF(M29&lt;10,2,IF(M29&lt;20,1,0))+IF(N29="N",2,IF(N29="Outdated",1,0))+IF(O29="Y",0,1)+IF(P29&lt;500,2,IF(P29&lt;1000,1,0))+IF(Q29="",1,0)+IF(R29="N",2,0)</f>
        <v/>
      </c>
      <c r="T29" s="13">
        <f>IF(S29&gt;=10,"🔥 HOT",IF(S29&gt;=6,"✅ OPPORTUNITY","⏭️ SKIP"))</f>
        <v/>
      </c>
      <c r="U29" s="14" t="inlineStr"/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</row>
    <row r="30" ht="18" customHeight="1">
      <c r="A30" s="15" t="n">
        <v>27</v>
      </c>
      <c r="B30" s="11" t="inlineStr"/>
      <c r="C30" s="11" t="inlineStr"/>
      <c r="D30" s="11" t="inlineStr"/>
      <c r="E30" s="11" t="inlineStr"/>
      <c r="F30" s="11" t="inlineStr"/>
      <c r="G30" s="11" t="inlineStr"/>
      <c r="H30" s="11" t="inlineStr"/>
      <c r="I30" s="11" t="inlineStr"/>
      <c r="J30" s="11" t="inlineStr"/>
      <c r="K30" s="11" t="inlineStr"/>
      <c r="L30" s="11" t="inlineStr"/>
      <c r="M30" s="11" t="inlineStr"/>
      <c r="N30" s="11" t="inlineStr"/>
      <c r="O30" s="11" t="inlineStr"/>
      <c r="P30" s="11" t="inlineStr"/>
      <c r="Q30" s="11" t="inlineStr"/>
      <c r="R30" s="11" t="inlineStr"/>
      <c r="S30" s="16">
        <f>IF(J30="Y",1,0)+IF(K30&lt;30,3,IF(K30&lt;60,2,IF(K30&lt;100,1,0)))+IF(L30="",2,IF(L30="Active",0,1))+IF(M30&lt;10,2,IF(M30&lt;20,1,0))+IF(N30="N",2,IF(N30="Outdated",1,0))+IF(O30="Y",0,1)+IF(P30&lt;500,2,IF(P30&lt;1000,1,0))+IF(Q30="",1,0)+IF(R30="N",2,0)</f>
        <v/>
      </c>
      <c r="T30" s="13">
        <f>IF(S30&gt;=10,"🔥 HOT",IF(S30&gt;=6,"✅ OPPORTUNITY","⏭️ SKIP"))</f>
        <v/>
      </c>
      <c r="U30" s="11" t="inlineStr"/>
      <c r="V30" s="11" t="inlineStr"/>
      <c r="W30" s="11" t="inlineStr"/>
      <c r="X30" s="11" t="inlineStr"/>
      <c r="Y30" s="11" t="inlineStr"/>
      <c r="Z30" s="11" t="inlineStr"/>
      <c r="AA30" s="11" t="inlineStr"/>
      <c r="AB30" s="11" t="inlineStr"/>
      <c r="AC30" s="11" t="inlineStr"/>
      <c r="AD30" s="11" t="inlineStr"/>
      <c r="AE30" s="11" t="inlineStr"/>
    </row>
    <row r="31" ht="18" customHeight="1">
      <c r="A31" s="15" t="n">
        <v>28</v>
      </c>
      <c r="B31" s="14" t="inlineStr"/>
      <c r="C31" s="14" t="inlineStr"/>
      <c r="D31" s="14" t="inlineStr"/>
      <c r="E31" s="14" t="inlineStr"/>
      <c r="F31" s="14" t="inlineStr"/>
      <c r="G31" s="14" t="inlineStr"/>
      <c r="H31" s="14" t="inlineStr"/>
      <c r="I31" s="14" t="inlineStr"/>
      <c r="J31" s="14" t="inlineStr"/>
      <c r="K31" s="14" t="inlineStr"/>
      <c r="L31" s="14" t="inlineStr"/>
      <c r="M31" s="14" t="inlineStr"/>
      <c r="N31" s="14" t="inlineStr"/>
      <c r="O31" s="14" t="inlineStr"/>
      <c r="P31" s="14" t="inlineStr"/>
      <c r="Q31" s="14" t="inlineStr"/>
      <c r="R31" s="14" t="inlineStr"/>
      <c r="S31" s="16">
        <f>IF(J31="Y",1,0)+IF(K31&lt;30,3,IF(K31&lt;60,2,IF(K31&lt;100,1,0)))+IF(L31="",2,IF(L31="Active",0,1))+IF(M31&lt;10,2,IF(M31&lt;20,1,0))+IF(N31="N",2,IF(N31="Outdated",1,0))+IF(O31="Y",0,1)+IF(P31&lt;500,2,IF(P31&lt;1000,1,0))+IF(Q31="",1,0)+IF(R31="N",2,0)</f>
        <v/>
      </c>
      <c r="T31" s="13">
        <f>IF(S31&gt;=10,"🔥 HOT",IF(S31&gt;=6,"✅ OPPORTUNITY","⏭️ SKIP"))</f>
        <v/>
      </c>
      <c r="U31" s="14" t="inlineStr"/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</row>
    <row r="32" ht="18" customHeight="1">
      <c r="A32" s="15" t="n">
        <v>29</v>
      </c>
      <c r="B32" s="11" t="inlineStr"/>
      <c r="C32" s="11" t="inlineStr"/>
      <c r="D32" s="11" t="inlineStr"/>
      <c r="E32" s="11" t="inlineStr"/>
      <c r="F32" s="11" t="inlineStr"/>
      <c r="G32" s="11" t="inlineStr"/>
      <c r="H32" s="11" t="inlineStr"/>
      <c r="I32" s="11" t="inlineStr"/>
      <c r="J32" s="11" t="inlineStr"/>
      <c r="K32" s="11" t="inlineStr"/>
      <c r="L32" s="11" t="inlineStr"/>
      <c r="M32" s="11" t="inlineStr"/>
      <c r="N32" s="11" t="inlineStr"/>
      <c r="O32" s="11" t="inlineStr"/>
      <c r="P32" s="11" t="inlineStr"/>
      <c r="Q32" s="11" t="inlineStr"/>
      <c r="R32" s="11" t="inlineStr"/>
      <c r="S32" s="16">
        <f>IF(J32="Y",1,0)+IF(K32&lt;30,3,IF(K32&lt;60,2,IF(K32&lt;100,1,0)))+IF(L32="",2,IF(L32="Active",0,1))+IF(M32&lt;10,2,IF(M32&lt;20,1,0))+IF(N32="N",2,IF(N32="Outdated",1,0))+IF(O32="Y",0,1)+IF(P32&lt;500,2,IF(P32&lt;1000,1,0))+IF(Q32="",1,0)+IF(R32="N",2,0)</f>
        <v/>
      </c>
      <c r="T32" s="13">
        <f>IF(S32&gt;=10,"🔥 HOT",IF(S32&gt;=6,"✅ OPPORTUNITY","⏭️ SKIP"))</f>
        <v/>
      </c>
      <c r="U32" s="11" t="inlineStr"/>
      <c r="V32" s="11" t="inlineStr"/>
      <c r="W32" s="11" t="inlineStr"/>
      <c r="X32" s="11" t="inlineStr"/>
      <c r="Y32" s="11" t="inlineStr"/>
      <c r="Z32" s="11" t="inlineStr"/>
      <c r="AA32" s="11" t="inlineStr"/>
      <c r="AB32" s="11" t="inlineStr"/>
      <c r="AC32" s="11" t="inlineStr"/>
      <c r="AD32" s="11" t="inlineStr"/>
      <c r="AE32" s="11" t="inlineStr"/>
    </row>
    <row r="33" ht="18" customHeight="1">
      <c r="A33" s="15" t="n">
        <v>30</v>
      </c>
      <c r="B33" s="14" t="inlineStr"/>
      <c r="C33" s="14" t="inlineStr"/>
      <c r="D33" s="14" t="inlineStr"/>
      <c r="E33" s="14" t="inlineStr"/>
      <c r="F33" s="14" t="inlineStr"/>
      <c r="G33" s="14" t="inlineStr"/>
      <c r="H33" s="14" t="inlineStr"/>
      <c r="I33" s="14" t="inlineStr"/>
      <c r="J33" s="14" t="inlineStr"/>
      <c r="K33" s="14" t="inlineStr"/>
      <c r="L33" s="14" t="inlineStr"/>
      <c r="M33" s="14" t="inlineStr"/>
      <c r="N33" s="14" t="inlineStr"/>
      <c r="O33" s="14" t="inlineStr"/>
      <c r="P33" s="14" t="inlineStr"/>
      <c r="Q33" s="14" t="inlineStr"/>
      <c r="R33" s="14" t="inlineStr"/>
      <c r="S33" s="16">
        <f>IF(J33="Y",1,0)+IF(K33&lt;30,3,IF(K33&lt;60,2,IF(K33&lt;100,1,0)))+IF(L33="",2,IF(L33="Active",0,1))+IF(M33&lt;10,2,IF(M33&lt;20,1,0))+IF(N33="N",2,IF(N33="Outdated",1,0))+IF(O33="Y",0,1)+IF(P33&lt;500,2,IF(P33&lt;1000,1,0))+IF(Q33="",1,0)+IF(R33="N",2,0)</f>
        <v/>
      </c>
      <c r="T33" s="13">
        <f>IF(S33&gt;=10,"🔥 HOT",IF(S33&gt;=6,"✅ OPPORTUNITY","⏭️ SKIP"))</f>
        <v/>
      </c>
      <c r="U33" s="14" t="inlineStr"/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</row>
  </sheetData>
  <mergeCells count="2">
    <mergeCell ref="A1:Z1"/>
    <mergeCell ref="A2:Z2"/>
  </mergeCells>
  <conditionalFormatting sqref="A4:AE33">
    <cfRule type="expression" priority="1" dxfId="0">
      <formula>$T4="🔥 HOT"</formula>
    </cfRule>
    <cfRule type="expression" priority="2" dxfId="1">
      <formula>$Y4="Yes"</formula>
    </cfRule>
    <cfRule type="expression" priority="3" dxfId="2">
      <formula>$AD4="SKIP"</formula>
    </cfRule>
  </conditionalFormatting>
  <dataValidations count="12">
    <dataValidation sqref="C4:C33" showDropDown="0" showInputMessage="1" showErrorMessage="1" allowBlank="1" errorTitle="Error" error="Invalid value" promptTitle="Specialty" prompt="Select clinic specialty" type="list">
      <formula1>"Dental,Dermatology,Physiotherapy,Eye,ENT,Ortho,General,Pediatric,Gynecology,Other"</formula1>
    </dataValidation>
    <dataValidation sqref="J4:J33" showDropDown="0" showInputMessage="1" showErrorMessage="1" allowBlank="1" errorTitle="Error" error="Invalid value" promptTitle="GMB Exists?" prompt="Y if Google My Business profile exists" type="list">
      <formula1>"Y,N"</formula1>
    </dataValidation>
    <dataValidation sqref="L4:L33" showDropDown="0" showInputMessage="1" showErrorMessage="1" allowBlank="1" errorTitle="Error" error="Invalid value" promptTitle="GMB Active?" prompt="Active = posted in last 30 days" type="list">
      <formula1>"Active,Inactive,"</formula1>
    </dataValidation>
    <dataValidation sqref="N4:N33" showDropDown="0" showInputMessage="1" showErrorMessage="1" allowBlank="1" errorTitle="Error" error="Invalid value" promptTitle="Website?" prompt="Y/N/Outdated" type="list">
      <formula1>"Y,N,Outdated"</formula1>
    </dataValidation>
    <dataValidation sqref="O4:O33" showDropDown="0" showInputMessage="1" showErrorMessage="1" allowBlank="1" errorTitle="Error" error="Invalid value" promptTitle="Instagram?" prompt="Y if Instagram account exists" type="list">
      <formula1>"Y,N"</formula1>
    </dataValidation>
    <dataValidation sqref="R4:R33" showDropDown="0" showInputMessage="1" showErrorMessage="1" allowBlank="1" errorTitle="Error" error="Invalid value" promptTitle="Running Ads?" prompt="Y if currently running Meta/Google ads" type="list">
      <formula1>"Y,N"</formula1>
    </dataValidation>
    <dataValidation sqref="Y4:Y33" showDropDown="0" showInputMessage="1" showErrorMessage="1" allowBlank="1" errorTitle="Error" error="Invalid value" promptTitle="Replied?" prompt="Has doctor replied to WhatsApp?" type="list">
      <formula1>"Yes,No"</formula1>
    </dataValidation>
    <dataValidation sqref="Z4:Z33" showDropDown="0" showInputMessage="1" showErrorMessage="1" allowBlank="1" errorTitle="Error" error="Invalid value" promptTitle="Call Done?" prompt="Has a call happened?" type="list">
      <formula1>"Yes,No"</formula1>
    </dataValidation>
    <dataValidation sqref="AA4:AA33" showDropDown="0" showInputMessage="1" showErrorMessage="1" allowBlank="1" errorTitle="Error" error="Invalid value" promptTitle="Proposal Sent?" prompt="Has proposal PDF been sent?" type="list">
      <formula1>"Yes,No"</formula1>
    </dataValidation>
    <dataValidation sqref="AB4:AB33" showDropDown="0" showInputMessage="1" showErrorMessage="1" allowBlank="1" errorTitle="Error" error="Invalid value" promptTitle="Package" prompt="Which package is being discussed?" type="list">
      <formula1>"Rs.25999 - 3 Months,Rs.45999 - 6 Months,Custom"</formula1>
    </dataValidation>
    <dataValidation sqref="AC4:AC33" showDropDown="0" showInputMessage="1" showErrorMessage="1" allowBlank="1" errorTitle="Error" error="Invalid value" promptTitle="Closure Status" prompt="Current closure status" type="list">
      <formula1>"None,Negotiating,Closed Won,Closed Lost"</formula1>
    </dataValidation>
    <dataValidation sqref="AD4:AD33" showDropDown="0" showInputMessage="1" showErrorMessage="1" allowBlank="1" errorTitle="Error" error="Invalid value" promptTitle="n8n Status" prompt="Automation workflow status" type="list">
      <formula1>"SEND,HOLD,SKIP,SENT_M1,SENT_M2,SENT_M3,SENT_M4,REPLIED,SEQUENCE_DONE"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0" customWidth="1" min="3" max="3"/>
  </cols>
  <sheetData>
    <row r="1" ht="28" customHeight="1">
      <c r="A1" s="17" t="inlineStr">
        <is>
          <t>BABILA'S 5-MINUTE AUDIT GUIDE</t>
        </is>
      </c>
    </row>
    <row r="2" ht="20" customHeight="1">
      <c r="A2" s="18" t="inlineStr">
        <is>
          <t>FIELD</t>
        </is>
      </c>
      <c r="B2" s="18" t="inlineStr">
        <is>
          <t>HOW TO CHECK</t>
        </is>
      </c>
      <c r="C2" s="18" t="inlineStr">
        <is>
          <t>TIME</t>
        </is>
      </c>
    </row>
    <row r="3" ht="20" customHeight="1">
      <c r="A3" s="11" t="inlineStr">
        <is>
          <t>GMB Exists</t>
        </is>
      </c>
      <c r="B3" s="11" t="inlineStr">
        <is>
          <t>Google '[Clinic Name] Pondicherry' — does a GMB card appear?</t>
        </is>
      </c>
      <c r="C3" s="11" t="inlineStr">
        <is>
          <t>30 sec</t>
        </is>
      </c>
    </row>
    <row r="4" ht="20" customHeight="1">
      <c r="A4" s="14" t="inlineStr">
        <is>
          <t>GMB Reviews</t>
        </is>
      </c>
      <c r="B4" s="14" t="inlineStr">
        <is>
          <t>Count in the GMB card</t>
        </is>
      </c>
      <c r="C4" s="14" t="inlineStr">
        <is>
          <t>30 sec</t>
        </is>
      </c>
    </row>
    <row r="5" ht="20" customHeight="1">
      <c r="A5" s="11" t="inlineStr">
        <is>
          <t>GMB Last Post</t>
        </is>
      </c>
      <c r="B5" s="11" t="inlineStr">
        <is>
          <t>Click 'Posts' in GMB — when was last post?</t>
        </is>
      </c>
      <c r="C5" s="11" t="inlineStr">
        <is>
          <t>30 sec</t>
        </is>
      </c>
    </row>
    <row r="6" ht="20" customHeight="1">
      <c r="A6" s="14" t="inlineStr">
        <is>
          <t>GMB Photos</t>
        </is>
      </c>
      <c r="B6" s="14" t="inlineStr">
        <is>
          <t>Count photos in GMB gallery</t>
        </is>
      </c>
      <c r="C6" s="14" t="inlineStr">
        <is>
          <t>30 sec</t>
        </is>
      </c>
    </row>
    <row r="7" ht="20" customHeight="1">
      <c r="A7" s="11" t="inlineStr">
        <is>
          <t>Website</t>
        </is>
      </c>
      <c r="B7" s="11" t="inlineStr">
        <is>
          <t>Click website link in GMB — does it work?</t>
        </is>
      </c>
      <c r="C7" s="11" t="inlineStr">
        <is>
          <t>30 sec</t>
        </is>
      </c>
    </row>
    <row r="8" ht="20" customHeight="1">
      <c r="A8" s="14" t="inlineStr">
        <is>
          <t>Instagram</t>
        </is>
      </c>
      <c r="B8" s="14" t="inlineStr">
        <is>
          <t>Search @clinicname on Instagram</t>
        </is>
      </c>
      <c r="C8" s="14" t="inlineStr">
        <is>
          <t>30 sec</t>
        </is>
      </c>
    </row>
    <row r="9" ht="20" customHeight="1">
      <c r="A9" s="11" t="inlineStr">
        <is>
          <t>Instagram Followers</t>
        </is>
      </c>
      <c r="B9" s="11" t="inlineStr">
        <is>
          <t>Check follower count</t>
        </is>
      </c>
      <c r="C9" s="11" t="inlineStr">
        <is>
          <t>10 sec</t>
        </is>
      </c>
    </row>
    <row r="10" ht="20" customHeight="1">
      <c r="A10" s="14" t="inlineStr">
        <is>
          <t>Instagram Last Post</t>
        </is>
      </c>
      <c r="B10" s="14" t="inlineStr">
        <is>
          <t>When was the last post?</t>
        </is>
      </c>
      <c r="C10" s="14" t="inlineStr">
        <is>
          <t>10 sec</t>
        </is>
      </c>
    </row>
    <row r="11" ht="20" customHeight="1">
      <c r="A11" s="11" t="inlineStr">
        <is>
          <t>Running Ads</t>
        </is>
      </c>
      <c r="B11" s="11" t="inlineStr">
        <is>
          <t>Scroll their Instagram — 'Sponsored' tag = Yes</t>
        </is>
      </c>
      <c r="C11" s="11" t="inlineStr">
        <is>
          <t>30 sec</t>
        </is>
      </c>
    </row>
    <row r="12" ht="20" customHeight="1">
      <c r="A12" s="14" t="inlineStr"/>
      <c r="B12" s="14" t="inlineStr"/>
      <c r="C12" s="14" t="inlineStr"/>
    </row>
    <row r="13" ht="20" customHeight="1">
      <c r="A13" s="19" t="inlineStr">
        <is>
          <t>GRADE</t>
        </is>
      </c>
      <c r="B13" s="19" t="inlineStr">
        <is>
          <t>SCORE</t>
        </is>
      </c>
      <c r="C13" s="19" t="inlineStr">
        <is>
          <t>ACTION</t>
        </is>
      </c>
    </row>
    <row r="14" ht="20" customHeight="1">
      <c r="A14" s="14" t="inlineStr">
        <is>
          <t>🔥 HOT</t>
        </is>
      </c>
      <c r="B14" s="14" t="inlineStr">
        <is>
          <t>10-15 points</t>
        </is>
      </c>
      <c r="C14" s="14" t="inlineStr">
        <is>
          <t>Priority outreach — WA M1 same day</t>
        </is>
      </c>
    </row>
    <row r="15" ht="20" customHeight="1">
      <c r="A15" s="11" t="inlineStr">
        <is>
          <t>✅ OPPORTUNITY</t>
        </is>
      </c>
      <c r="B15" s="11" t="inlineStr">
        <is>
          <t>5-9 points</t>
        </is>
      </c>
      <c r="C15" s="11" t="inlineStr">
        <is>
          <t>Add to sequence — WA M1 this week</t>
        </is>
      </c>
    </row>
    <row r="16" ht="20" customHeight="1">
      <c r="A16" s="14" t="inlineStr">
        <is>
          <t>⏭️ SKIP</t>
        </is>
      </c>
      <c r="B16" s="14" t="inlineStr">
        <is>
          <t>0-4 points</t>
        </is>
      </c>
      <c r="C16" s="14" t="inlineStr">
        <is>
          <t>Already strong online — skip for now</t>
        </is>
      </c>
    </row>
    <row r="17" ht="20" customHeight="1">
      <c r="A17" s="11" t="inlineStr"/>
      <c r="B17" s="11" t="inlineStr"/>
      <c r="C17" s="11" t="inlineStr"/>
    </row>
    <row r="18" ht="20" customHeight="1">
      <c r="A18" s="19" t="inlineStr">
        <is>
          <t>SCORE EXPLAINED</t>
        </is>
      </c>
      <c r="B18" s="19" t="inlineStr"/>
      <c r="C18" s="19" t="inlineStr"/>
    </row>
    <row r="19" ht="20" customHeight="1">
      <c r="A19" s="11" t="inlineStr">
        <is>
          <t>GMB has &lt;30 reviews</t>
        </is>
      </c>
      <c r="B19" s="11" t="inlineStr">
        <is>
          <t>+3 points</t>
        </is>
      </c>
      <c r="C19" s="11" t="inlineStr">
        <is>
          <t>Low reviews = losing patients</t>
        </is>
      </c>
    </row>
    <row r="20" ht="20" customHeight="1">
      <c r="A20" s="14" t="inlineStr">
        <is>
          <t>GMB inactive (no posts)</t>
        </is>
      </c>
      <c r="B20" s="14" t="inlineStr">
        <is>
          <t>+2 points</t>
        </is>
      </c>
      <c r="C20" s="14" t="inlineStr">
        <is>
          <t>Dead GMB = invisible to Google</t>
        </is>
      </c>
    </row>
    <row r="21" ht="20" customHeight="1">
      <c r="A21" s="11" t="inlineStr">
        <is>
          <t>Less than 10 photos</t>
        </is>
      </c>
      <c r="B21" s="11" t="inlineStr">
        <is>
          <t>+2 points</t>
        </is>
      </c>
      <c r="C21" s="11" t="inlineStr">
        <is>
          <t>No photos = low trust</t>
        </is>
      </c>
    </row>
    <row r="22" ht="20" customHeight="1">
      <c r="A22" s="14" t="inlineStr">
        <is>
          <t>No website</t>
        </is>
      </c>
      <c r="B22" s="14" t="inlineStr">
        <is>
          <t>+2 points</t>
        </is>
      </c>
      <c r="C22" s="14" t="inlineStr">
        <is>
          <t>Missing key trust signal</t>
        </is>
      </c>
    </row>
    <row r="23" ht="20" customHeight="1">
      <c r="A23" s="11" t="inlineStr">
        <is>
          <t>No Instagram</t>
        </is>
      </c>
      <c r="B23" s="11" t="inlineStr">
        <is>
          <t>+1 point</t>
        </is>
      </c>
      <c r="C23" s="11" t="inlineStr">
        <is>
          <t>Missing social presence</t>
        </is>
      </c>
    </row>
    <row r="24" ht="20" customHeight="1">
      <c r="A24" s="14" t="inlineStr">
        <is>
          <t>Not running ads</t>
        </is>
      </c>
      <c r="B24" s="14" t="inlineStr">
        <is>
          <t>+2 points</t>
        </is>
      </c>
      <c r="C24" s="14" t="inlineStr">
        <is>
          <t>No paid visibility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8" customWidth="1" min="1" max="1"/>
    <col width="15" customWidth="1" min="2" max="2"/>
  </cols>
  <sheetData>
    <row r="1" ht="30" customHeight="1">
      <c r="A1" s="20" t="inlineStr">
        <is>
          <t>TECHX CLINICS — AUDIT DASHBOARD</t>
        </is>
      </c>
    </row>
    <row r="3" ht="22" customHeight="1">
      <c r="A3" s="21" t="inlineStr">
        <is>
          <t>Total Clinics Audited</t>
        </is>
      </c>
      <c r="B3" s="22">
        <f>COUNTA(TECHX_Clinics!B4:B33)</f>
        <v/>
      </c>
    </row>
    <row r="4" ht="22" customHeight="1">
      <c r="A4" s="21" t="inlineStr">
        <is>
          <t>🔥 HOT Clinics</t>
        </is>
      </c>
      <c r="B4" s="22">
        <f>COUNTIF(TECHX_Clinics!T4:T33,"🔥 HOT")</f>
        <v/>
      </c>
    </row>
    <row r="5" ht="22" customHeight="1">
      <c r="A5" s="21" t="inlineStr">
        <is>
          <t>✅ OPPORTUNITY</t>
        </is>
      </c>
      <c r="B5" s="22">
        <f>COUNTIF(TECHX_Clinics!T4:T33,"✅ OPPORTUNITY")</f>
        <v/>
      </c>
    </row>
    <row r="6" ht="22" customHeight="1">
      <c r="A6" s="21" t="inlineStr">
        <is>
          <t>⏭️ SKIP</t>
        </is>
      </c>
      <c r="B6" s="22">
        <f>COUNTIF(TECHX_Clinics!T4:T33,"⏭️ SKIP")</f>
        <v/>
      </c>
    </row>
    <row r="7" ht="22" customHeight="1">
      <c r="A7" s="21" t="inlineStr">
        <is>
          <t>WA M1 Sent</t>
        </is>
      </c>
      <c r="B7" s="22">
        <f>COUNTIF(TECHX_Clinics!U4:U33,"&lt;&gt;")</f>
        <v/>
      </c>
    </row>
    <row r="8" ht="22" customHeight="1">
      <c r="A8" s="21" t="inlineStr">
        <is>
          <t>Replied</t>
        </is>
      </c>
      <c r="B8" s="22">
        <f>COUNTIF(TECHX_Clinics!Y4:Y33,"Yes")</f>
        <v/>
      </c>
    </row>
    <row r="9" ht="22" customHeight="1">
      <c r="A9" s="21" t="inlineStr">
        <is>
          <t>Proposal Sent</t>
        </is>
      </c>
      <c r="B9" s="22">
        <f>COUNTIF(TECHX_Clinics!AA4:AA33,"Yes")</f>
        <v/>
      </c>
    </row>
    <row r="10" ht="22" customHeight="1">
      <c r="A10" s="21" t="inlineStr">
        <is>
          <t>Closed Won</t>
        </is>
      </c>
      <c r="B10" s="22">
        <f>COUNTIF(TECHX_Clinics!AC4:AC33,"Closed Won")</f>
        <v/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2026-05-31T08:26:02Z</dcterms:created>
  <dcterms:modified xmlns:dcterms="http://purl.org/dc/terms/" xmlns:xsi="http://www.w3.org/2001/XMLSchema-instance" xsi:type="dcterms:W3CDTF">2026-05-31T08:26:02Z</dcterms:modified>
</cp:coreProperties>
</file>